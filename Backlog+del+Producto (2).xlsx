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9"/>
  <workbookPr codeName="ThisWorkbook"/>
  <mc:AlternateContent xmlns:mc="http://schemas.openxmlformats.org/markup-compatibility/2006">
    <mc:Choice Requires="x15">
      <x15ac:absPath xmlns:x15ac="http://schemas.microsoft.com/office/spreadsheetml/2010/11/ac" url="D:\2025\Sena\Artefactos\Segundo Trimestre\"/>
    </mc:Choice>
  </mc:AlternateContent>
  <xr:revisionPtr revIDLastSave="0" documentId="8_{6B417B2E-0925-4832-AF6B-B4E619E4F6AC}" xr6:coauthVersionLast="47" xr6:coauthVersionMax="47" xr10:uidLastSave="{00000000-0000-0000-0000-000000000000}"/>
  <bookViews>
    <workbookView xWindow="-108" yWindow="-108" windowWidth="23256" windowHeight="12576" tabRatio="522" firstSheet="2" activeTab="2" xr2:uid="{00000000-000D-0000-FFFF-FFFF00000000}"/>
  </bookViews>
  <sheets>
    <sheet name="Backlog del Producto" sheetId="8" r:id="rId1"/>
    <sheet name="tareas por historias " sheetId="9" r:id="rId2"/>
    <sheet name="Sprints" sheetId="7" r:id="rId3"/>
  </sheets>
  <externalReferences>
    <externalReference r:id="rId4"/>
  </externalReferences>
  <definedNames>
    <definedName name="_xlnm.Print_Area" localSheetId="0">'Backlog del Producto'!$B:$P</definedName>
    <definedName name="AverageSpeedLastEight" localSheetId="1">OFFSET(#REF!,1,0,#REF!,1)</definedName>
    <definedName name="AverageSpeedLastEight">OFFSET(#REF!,1,0,#REF!,1)</definedName>
    <definedName name="AverageSpeedRealized" localSheetId="1">OFFSET(#REF!,1,0,#REF!,1)</definedName>
    <definedName name="AverageSpeedRealized">OFFSET(#REF!,1,0,#REF!,1)</definedName>
    <definedName name="AverageSpeedWorstThree">OFFSET(#REF!,1,0,#REF!,1)</definedName>
    <definedName name="ColBottomCurrentScope">OFFSET(#REF!,1,0,#REF!,1)</definedName>
    <definedName name="ColTopRemainingWork">OFFSET(#REF!,1,0,#REF!,1)</definedName>
    <definedName name="DoneDays">#REF!</definedName>
    <definedName name="ImplementationDays">#REF!</definedName>
    <definedName name="LastEight" localSheetId="1">IF(#REF!&gt;8,OFFSET(#REF!,#REF!-7,0,8,1),OFFSET(#REF!,1,0,#REF!-1,1))</definedName>
    <definedName name="LastEight">IF(#REF!&gt;8,OFFSET(#REF!,#REF!-7,0,8,1),OFFSET(#REF!,1,0,#REF!-1,1))</definedName>
    <definedName name="LastPlanned">IF(OFFSET(#REF!,1,0,1,1)="",1,OFFSET(#REF!,#REF!,0,1,1))</definedName>
    <definedName name="LastRealized">IF(OFFSET(#REF!,1,0,1,1)="",1,OFFSET(#REF!,#REF!,0,1,1))</definedName>
    <definedName name="PBCurrentBottom">OFFSET(#REF!,1,0,#REF!,1)</definedName>
    <definedName name="PBTrend">OFFSET(#REF!,1,0,#REF!,1)</definedName>
    <definedName name="PlannedSpeed">OFFSET(#REF!,1,0,#REF!,1)</definedName>
    <definedName name="ProductBacklog">'Backlog del Producto'!$B$13:$P$198</definedName>
    <definedName name="RealizedSpeed" localSheetId="1">OFFSET(#REF!,1,0,#REF!,1)</definedName>
    <definedName name="RealizedSpeed">OFFSET(#REF!,1,0,#REF!,1)</definedName>
    <definedName name="Sprint">'Backlog del Producto'!$N$15:$N$198</definedName>
    <definedName name="SprintCount">#REF!</definedName>
    <definedName name="SprintsInTrend">#REF!</definedName>
    <definedName name="SprintTasks">#REF!</definedName>
    <definedName name="Status">'Backlog del Producto'!$O$15:$O$198</definedName>
    <definedName name="StoryName" localSheetId="1">'[1]Backlog del Producto'!#REF!</definedName>
    <definedName name="StoryName">'Backlog del Producto'!#REF!</definedName>
    <definedName name="TaskRows" localSheetId="1">#REF!</definedName>
    <definedName name="TaskRows">#REF!</definedName>
    <definedName name="TaskStatus">#REF!</definedName>
    <definedName name="TaskStoryID">#REF!</definedName>
    <definedName name="TotalEffort">#REF!</definedName>
    <definedName name="TrendDays">#REF!</definedName>
    <definedName name="TrendOffset">#REF!</definedName>
    <definedName name="TrendSprintCou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 i="7" l="1"/>
  <c r="G10" i="7"/>
  <c r="G11" i="7" s="1"/>
  <c r="G12" i="7" s="1"/>
  <c r="G13" i="7" s="1"/>
  <c r="G14" i="7" s="1"/>
  <c r="G15" i="7" s="1"/>
  <c r="G16" i="7" s="1"/>
  <c r="G17" i="7" s="1"/>
  <c r="C10" i="7" l="1"/>
  <c r="B10" i="7" l="1"/>
  <c r="F10" i="7" s="1"/>
  <c r="C11" i="7"/>
  <c r="E10" i="7"/>
  <c r="B11" i="7" l="1"/>
  <c r="F11" i="7" s="1"/>
  <c r="E11" i="7"/>
  <c r="C12" i="7"/>
  <c r="B12" i="7" l="1"/>
  <c r="F12" i="7" s="1"/>
  <c r="E12" i="7"/>
  <c r="C13" i="7"/>
  <c r="B13" i="7" l="1"/>
  <c r="F13" i="7" s="1"/>
  <c r="C14" i="7"/>
  <c r="E13" i="7"/>
  <c r="B14" i="7" l="1"/>
  <c r="F14" i="7" s="1"/>
  <c r="C15" i="7"/>
  <c r="E14" i="7"/>
  <c r="B15" i="7" l="1"/>
  <c r="F15" i="7" s="1"/>
  <c r="E15" i="7"/>
  <c r="C16" i="7"/>
  <c r="B16" i="7" l="1"/>
  <c r="F16" i="7" s="1"/>
  <c r="C17" i="7"/>
  <c r="E16" i="7"/>
  <c r="B17" i="7" l="1"/>
  <c r="F17" i="7" s="1"/>
  <c r="E17"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Hector Bravo Consultor GE</author>
    <author>Petri Heiramo</author>
    <author>Hector Bravo</author>
  </authors>
  <commentList>
    <comment ref="B14" authorId="0" shapeId="0" xr:uid="{00000000-0006-0000-0000-000001000000}">
      <text>
        <r>
          <rPr>
            <sz val="9"/>
            <color indexed="81"/>
            <rFont val="Tahoma"/>
            <family val="2"/>
          </rPr>
          <t>ID único de la Epica (historia de usuario grande que debe ser descompuesta en historias de usuario mas pequeñas</t>
        </r>
      </text>
    </comment>
    <comment ref="F14" authorId="1" shapeId="0" xr:uid="{00000000-0006-0000-0000-000002000000}">
      <text>
        <r>
          <rPr>
            <sz val="8"/>
            <color indexed="81"/>
            <rFont val="Tahoma"/>
            <family val="2"/>
          </rPr>
          <t>El ID único asignado a la Historia de Usuario.  Este numero no debe cambiar una vez asignado.</t>
        </r>
      </text>
    </comment>
    <comment ref="K14" authorId="1" shapeId="0" xr:uid="{00000000-0006-0000-0000-000003000000}">
      <text>
        <r>
          <rPr>
            <sz val="8"/>
            <color indexed="81"/>
            <rFont val="Tahoma"/>
            <family val="2"/>
          </rPr>
          <t>Debe asignarle prioridad a cada Historia, pero tenga en mente que la prioridad no es siempre el orden de implementación, mas bien la prioridad para el negocio.
Rango: 1-10  (donde 1 es lo mas alto)</t>
        </r>
      </text>
    </comment>
    <comment ref="L14" authorId="1" shapeId="0" xr:uid="{00000000-0006-0000-0000-000004000000}">
      <text>
        <r>
          <rPr>
            <sz val="8"/>
            <color indexed="81"/>
            <rFont val="Tahoma"/>
            <family val="2"/>
          </rPr>
          <t xml:space="preserve">Representa el esfuerzo que conlleva realizar la Historia de Usuario.
En la metodología tradicional Scrum se deben utilizar Story Points.
Sin embargo, siempre deberás traducir el esfuerzo a hrs, dias, etc.
</t>
        </r>
      </text>
    </comment>
    <comment ref="M14" authorId="2" shapeId="0" xr:uid="{00000000-0006-0000-0000-000005000000}">
      <text>
        <r>
          <rPr>
            <sz val="9"/>
            <color indexed="81"/>
            <rFont val="Tahoma"/>
            <family val="2"/>
          </rPr>
          <t xml:space="preserve">Indicar el ID de la Epica o el ID de la Historia que debe ser completada antes
</t>
        </r>
      </text>
    </comment>
    <comment ref="N14" authorId="1" shapeId="0" xr:uid="{00000000-0006-0000-0000-000006000000}">
      <text>
        <r>
          <rPr>
            <sz val="8"/>
            <color indexed="81"/>
            <rFont val="Tahoma"/>
            <family val="2"/>
          </rPr>
          <t>Esta columna indica en que Sprint será desarrollada la Historia de Usuario.
Se debe crear un plan de liberación mediante la asignación de historias de usuario a los sprints planificados. 
Si hay más historias en la Lista que en el Plan, deje las historias restantes sin asginar.</t>
        </r>
      </text>
    </comment>
    <comment ref="O14" authorId="1" shapeId="0" xr:uid="{00000000-0006-0000-0000-000007000000}">
      <text>
        <r>
          <rPr>
            <b/>
            <sz val="8"/>
            <color indexed="81"/>
            <rFont val="Tahoma"/>
            <family val="2"/>
          </rPr>
          <t>Use los siguientes estados:</t>
        </r>
        <r>
          <rPr>
            <sz val="8"/>
            <color indexed="81"/>
            <rFont val="Tahoma"/>
            <family val="2"/>
          </rPr>
          <t xml:space="preserve">
Por Hacer
En Progreso
Terminado
Eliminado
Esta hoja usa los estados anteriores en el formato y cálculos de fórmulas.</t>
        </r>
      </text>
    </comment>
  </commentList>
</comments>
</file>

<file path=xl/sharedStrings.xml><?xml version="1.0" encoding="utf-8"?>
<sst xmlns="http://schemas.openxmlformats.org/spreadsheetml/2006/main" count="3076" uniqueCount="1116">
  <si>
    <t>Centro de Teleinformática y Producción Industrial - Regional Cauca</t>
  </si>
  <si>
    <t xml:space="preserve">
Número de Documento:</t>
  </si>
  <si>
    <t xml:space="preserve">
FS-DOC- PRODUCT BACKLOG</t>
  </si>
  <si>
    <t>fecha de Creación</t>
  </si>
  <si>
    <t>Elaborado por:
Grupo de Instructores Area de Software</t>
  </si>
  <si>
    <t xml:space="preserve">
Pág.1 de2</t>
  </si>
  <si>
    <t>Nombre del documento</t>
  </si>
  <si>
    <t>Historias de Usuario Epicas.</t>
  </si>
  <si>
    <t>Backlog del Producto</t>
  </si>
  <si>
    <t>Por Hacer</t>
  </si>
  <si>
    <t>Nombre del Proyecto:</t>
  </si>
  <si>
    <t>Sistema de Información Financiera</t>
  </si>
  <si>
    <t>En Progreso</t>
  </si>
  <si>
    <t>Dueño del Producto</t>
  </si>
  <si>
    <t>José Sanchez</t>
  </si>
  <si>
    <t>Terminado</t>
  </si>
  <si>
    <t>Eliminado</t>
  </si>
  <si>
    <t>EPICA</t>
  </si>
  <si>
    <t>HISTORIA DE USUARIO</t>
  </si>
  <si>
    <t>OTROS DATOS DE LA EPICA O HISTORIA DE USUARIO</t>
  </si>
  <si>
    <t>ID Epica</t>
  </si>
  <si>
    <t>Como (Rol)</t>
  </si>
  <si>
    <t>Deseo…</t>
  </si>
  <si>
    <t>Para…</t>
  </si>
  <si>
    <t>ID Historia de Usuario</t>
  </si>
  <si>
    <t>Como (Rol)…</t>
  </si>
  <si>
    <t>Deseo….</t>
  </si>
  <si>
    <t>Para….</t>
  </si>
  <si>
    <t>Criterios de Aceptación</t>
  </si>
  <si>
    <t>Prioridad</t>
  </si>
  <si>
    <t>Estimación</t>
  </si>
  <si>
    <t>Dependencias</t>
  </si>
  <si>
    <t>Sprint</t>
  </si>
  <si>
    <t>Estado</t>
  </si>
  <si>
    <t>Comentarios</t>
  </si>
  <si>
    <t>EP-01  Entrenamiento e implementación de OpenIA</t>
  </si>
  <si>
    <t>Administrador</t>
  </si>
  <si>
    <t>Entrenar y ajustar un modelo de IA para generar preguntas académicas personalizadas</t>
  </si>
  <si>
    <t>Para que los estudiantes reciban evaluaciones coherentes, pertinentes y adaptadas a sus necesidades de aprendizaje</t>
  </si>
  <si>
    <t>ES-395 Entrenamiento y ajuste del modelo de OpenIA</t>
  </si>
  <si>
    <t>Como administrador del sistema,</t>
  </si>
  <si>
    <r>
      <t>quiero</t>
    </r>
    <r>
      <rPr>
        <sz val="12"/>
        <color rgb="FF292A2E"/>
        <rFont val="Atlassian Sans"/>
        <charset val="1"/>
      </rPr>
      <t xml:space="preserve"> iniciar y controlar el proceso de entrenamiento del modelo de inteligencia artificial, definiendo y validando los parámetros académicos como área, nivel, tipo de evaluación, dificultad y estilo de aprendizaje,</t>
    </r>
  </si>
  <si>
    <r>
      <t>para</t>
    </r>
    <r>
      <rPr>
        <sz val="12"/>
        <color rgb="FF292A2E"/>
        <rFont val="Atlassian Sans"/>
        <charset val="1"/>
      </rPr>
      <t xml:space="preserve"> asegurar que el modelo esté correctamente ajustado y preparado para generar preguntas alineadas con los objetivos educativos de la institución.</t>
    </r>
  </si>
  <si>
    <t xml:space="preserve">
 - El administrador puede iniciar el proceso de entrenamiento del modelo.
- El sistema permite definir los parámetros académicos del entrenamiento.
- Los insumos del entrenamiento son validados antes de ejecutarse.
- El sistema informa el estado del proceso de entrenamiento.
- El entrenamiento solo finaliza si los parámetros son válidos.
- El sistema confirma cuando el entrenamiento se completa correctamente.
- El administrador puede iniciar el proceso de entrenamiento del modelo.
- El sistema permite definir los parámetros académicos del entrenamiento.
- Los insumos del entrenamiento son validados antes de ejecutarse.
- El sistema informa el estado del proceso de entrenamiento.
- El entrenamiento solo finaliza si los parámetros son válidos.
- El sistema confirma cuando el entrenamiento se completa correctamente.
- El administrador puede iniciar el proceso de entrenamiento del modelo.
- El sistema permite definir los parámetros académicos del entrenamiento.
- Los insumos del entrenamiento son validados antes de ejecutarse.
- El sistema informa el estado del proceso de entrenamiento.
- El entrenamiento solo finaliza si los parámetros son válidos.
- El sistema confirma cuando el entrenamiento se completa correctamente.</t>
  </si>
  <si>
    <t>TERMINADO</t>
  </si>
  <si>
    <t>ES-400 Validación de preguntas generadas por la IA</t>
  </si>
  <si>
    <r>
      <t>quiero</t>
    </r>
    <r>
      <rPr>
        <sz val="12"/>
        <color rgb="FF292A2E"/>
        <rFont val="Atlassian Sans"/>
        <charset val="1"/>
      </rPr>
      <t xml:space="preserve"> revisar y validar las preguntas académicas generadas por el modelo de inteligencia artificial,</t>
    </r>
  </si>
  <si>
    <r>
      <t>para</t>
    </r>
    <r>
      <rPr>
        <sz val="12"/>
        <color rgb="FF292A2E"/>
        <rFont val="Atlassian Sans"/>
        <charset val="1"/>
      </rPr>
      <t xml:space="preserve"> garantizar que sean coherentes, pertinentes, útiles para los estudiantes y alineadas con los parámetros definidos durante el entrenamiento.</t>
    </r>
  </si>
  <si>
    <t>Criterios de Aceptación 
- El sistema muestra las preguntas generadas por la IA.
- Las preguntas incluyen información del área, nivel y dificultad.
- El administrador puede revisar el contenido de cada pregunta.
- Se puede validar si una pregunta es adecuada o no.
- El sistema permite identificar preguntas inconsistentes.
- El administrador puede confirmar que el modelo genera resultados aceptables.</t>
  </si>
  <si>
    <t>ES-395</t>
  </si>
  <si>
    <t>EP-02  Gestión del Registro Institucional</t>
  </si>
  <si>
    <t>Quiero registrar mi institución en el sistema mediante un formulario completo y validado</t>
  </si>
  <si>
    <t>Para que pueda acceder a la plataforma y gestionar las evaluaciones académicas de mi institución</t>
  </si>
  <si>
    <t>ES-295 Registro de institución educativa</t>
  </si>
  <si>
    <t>Como administrador,</t>
  </si>
  <si>
    <t>quiero registrar una institución educativa a través de un formulario web que solicite toda la información institucional necesaria,</t>
  </si>
  <si>
    <t>para crear de manera correcta y segura una cuenta institucional que permita el acceso al sistema y la posterior gestión de estudiantes, docentes y procesos académicos.</t>
  </si>
  <si>
    <r>
      <t xml:space="preserve">
</t>
    </r>
    <r>
      <rPr>
        <sz val="12"/>
        <color rgb="FF000000"/>
        <rFont val="Arial"/>
      </rPr>
      <t>-El formulario solicita todos los datos obligatorios de la institución.
-No se permite enviar el formulario si falta información requerida.
-La contraseña y la confirmación deben coincidir.
-El sistema valida el formato del correo institucional.
-Se muestran mensajes claros cuando ocurre un error.
-Al completar el registro correctamente, el sistema confirma el proceso y redirige al inicio de sesión.</t>
    </r>
  </si>
  <si>
    <t xml:space="preserve">
EP-03 Gestión de Autenticación Institucional</t>
  </si>
  <si>
    <r>
      <t>Quiero</t>
    </r>
    <r>
      <rPr>
        <sz val="12"/>
        <rFont val="Arial"/>
      </rPr>
      <t xml:space="preserve"> autenticarme de forma segura en la plataforma mediante mis credenciales institucionales</t>
    </r>
  </si>
  <si>
    <r>
      <t>Para que</t>
    </r>
    <r>
      <rPr>
        <sz val="12"/>
        <rFont val="Arial"/>
      </rPr>
      <t xml:space="preserve"> pueda acceder al sistema y gestionar las funcionalidades correspondientes a mi institución</t>
    </r>
  </si>
  <si>
    <t>ES-304 Inicio de sesión institucional</t>
  </si>
  <si>
    <r>
      <t>Como</t>
    </r>
    <r>
      <rPr>
        <sz val="12"/>
        <color rgb="FF292A2E"/>
        <rFont val="Atlassian Sans"/>
        <charset val="1"/>
      </rPr>
      <t xml:space="preserve"> administrador institucional,</t>
    </r>
  </si>
  <si>
    <t>quiero iniciar sesión en la plataforma utilizando el correo institucional y la contraseña registrados previamente,</t>
  </si>
  <si>
    <t>para acceder de forma segura al sistema y gestionar la información institucional, académica y administrativa.</t>
  </si>
  <si>
    <r>
      <rPr>
        <b/>
        <sz val="12"/>
        <color rgb="FF000000"/>
        <rFont val="Arial"/>
      </rPr>
      <t xml:space="preserve">
</t>
    </r>
    <r>
      <rPr>
        <sz val="12"/>
        <color rgb="FF000000"/>
        <rFont val="Arial"/>
      </rPr>
      <t>- El inicio de sesión solicita correo institucional y contraseña.
- Ambos campos son obligatorios.
- Si las credenciales son correctas, el sistema permite el acceso.
- Si las credenciales son incorrectas, se muestra un mensaje de error.
- Si la institución no está registrada, el sistema no permite el ingreso.
- El sistema no permite acceder sin autenticación válida.</t>
    </r>
  </si>
  <si>
    <t>EPIC04  Recuperación de Acceso Institucional</t>
  </si>
  <si>
    <t>Quiero recuperar el acceso a mi cuenta cuando olvide mi contraseña mediante un proceso seguro de verificación</t>
  </si>
  <si>
    <r>
      <t>Para que</t>
    </r>
    <r>
      <rPr>
        <sz val="12"/>
        <rFont val="Arial"/>
      </rPr>
      <t xml:space="preserve"> pueda restablecer mis credenciales y volver a acceder a la plataforma sin perder la información de mi institución</t>
    </r>
  </si>
  <si>
    <t>ES-313 Solicitud de recuperación de contraseña</t>
  </si>
  <si>
    <t>Como administrador institucional,</t>
  </si>
  <si>
    <t>quiero solicitar la recuperación de mi contraseña ingresando el correo institucional registrado en el sistema,</t>
  </si>
  <si>
    <t>para recibir un código de verificación que me permita confirmar mi identidad y continuar con el proceso de recuperación de acceso.</t>
  </si>
  <si>
    <t xml:space="preserve">
El sistema solicita el correo institucional.
Solo se envía el código si el correo es válido y está registrado.
El sistema notifica que el código fue enviado.
El código tiene una vigencia de 15 minutos.
Si el correo no es válido, se muestra un mensaje de error.</t>
  </si>
  <si>
    <t>ES-328  Validación de código y cambio de contraseña</t>
  </si>
  <si>
    <r>
      <t>Como</t>
    </r>
    <r>
      <rPr>
        <sz val="12"/>
        <color rgb="FF000000"/>
        <rFont val="Arial"/>
      </rPr>
      <t xml:space="preserve"> Administrador Institucional</t>
    </r>
  </si>
  <si>
    <r>
      <t>Quiero</t>
    </r>
    <r>
      <rPr>
        <sz val="12"/>
        <color rgb="FF000000"/>
        <rFont val="Arial"/>
      </rPr>
      <t xml:space="preserve"> ingresar el código de verificación recibido y establecer una nueva contraseña segura</t>
    </r>
  </si>
  <si>
    <r>
      <t>Para que</t>
    </r>
    <r>
      <rPr>
        <sz val="12"/>
        <color rgb="FF000000"/>
        <rFont val="Arial"/>
      </rPr>
      <t xml:space="preserve"> pueda completar el proceso de recuperación y acceder nuevamente a mi cuenta con credenciales actualizadas</t>
    </r>
  </si>
  <si>
    <t>- El sistema valida que el código sea correcto y esté vigente (15 minutos)
- La nueva contraseña debe cumplir requisitos mínimos de seguridad (8 caracteres, mayúscula, número, carácter especial)
- Los campos "Contraseña" y "Confirmar contraseña" deben coincidir
- Si el código es inválido o expiró, se muestra mensaje de error y opción de reenvío
- Al actualizar exitosamente, se muestra confirmación y redirige al login
- La contraseña se almacena encriptada y el código usado se invalida</t>
  </si>
  <si>
    <t>EP-05  Inicio Visualización del Desempeño Institucional</t>
  </si>
  <si>
    <t>Que el administrador pueda visualizar de forma centralizada el estado académico de la institución mediante un tablero claro, visual e interactivo.</t>
  </si>
  <si>
    <t>Para monitorear el progreso mensual y el rendimiento por áreas académicas, facilitando el análisis del avance institucional y la toma de decisiones informadas.</t>
  </si>
  <si>
    <t>ES-320  Visualización del dashboard institucional</t>
  </si>
  <si>
    <t>quiero visualizar un panel principal que muestre de forma organizada la actividad y el desempeño de los estudiantes por cada área académica, utilizando tarjetas, gráficas y barras,</t>
  </si>
  <si>
    <t>para analizar el rendimiento institucional, comparar el comportamiento de los estudiantes entre meses y tomar decisiones basadas en datos claros y actualizados.</t>
  </si>
  <si>
    <t>Al iniciar sesión se muestran las tarjetas, la gráfica y las barras del dashboard.
El dashboard muestra información separada por áreas académicas.
Al pasar el cursor o interactuar con la gráfica, se muestra el detalle del mes seleccionado.
Los datos se actualizan cuando un estudiante inicia o cambia de área de práctica.
Se presenta la comparación del mes actual frente al mes anterior.
El rendimiento por área se visualiza mediante barras.</t>
  </si>
  <si>
    <t>EP-06  Gestión de Estudiantes Institucionales</t>
  </si>
  <si>
    <t>Que el administrador institucional pueda gestionar integralmente a los estudiantes de la institución desde un único módulo del sistema.</t>
  </si>
  <si>
    <t>Para mantener la información estudiantil organizada, actualizada y trazable, optimizando los procesos de administración académica y facilitando la toma de decisiones institucionales.</t>
  </si>
  <si>
    <t>ES-338 Visualización y búsqueda de estudiantes</t>
  </si>
  <si>
    <t>quiero visualizar el listado de estudiantes de la institución y poder aplicar filtros por grado, curso y jornada, así como realizar búsquedas por nombre y apellido,</t>
  </si>
  <si>
    <t>para encontrar de manera rápida y organizada la información de los estudiantes y facilitar la gestión académica desde el dashboard institucional.}</t>
  </si>
  <si>
    <t>Se muestra el listado de estudiantes registrados.
Los filtros por grado, curso y jornada funcionan correctamente.
La búsqueda por nombre y apellido muestra solo coincidencias.
El listado se actualiza según los filtros aplicados.</t>
  </si>
  <si>
    <t>ES-343 Registro de estudiantes y generación de credenciales</t>
  </si>
  <si>
    <t>Administrador Institucional</t>
  </si>
  <si>
    <t>quiero registrar estudiantes de forma individual o mediante la importación de archivos CSV o Excel,</t>
  </si>
  <si>
    <t>para crear sus cuentas de acceso al sistema de manera eficiente y generar automáticamente sus credenciales de usuario y contraseña.</t>
  </si>
  <si>
    <t>El sistema permite registrar estudiantes de forma individual.
Todos los campos obligatorios deben estar diligenciados.
Se evita el registro de estudiantes duplicados por documento.
Se permite la importación de estudiantes desde archivos CSV o Excel.
Al registrar un estudiante correctamente, se generan automáticamente las credenciales.
Se muestra un resumen del proceso de importación.</t>
  </si>
  <si>
    <t>ES-338</t>
  </si>
  <si>
    <t>ES-349 Administración del estado de estudiantes</t>
  </si>
  <si>
    <t>quiero inactivar o eliminar estudiantes según su historial de uso,</t>
  </si>
  <si>
    <t>para mantener actualizada la información del sistema sin perder la trazabilidad de los registros académicos.</t>
  </si>
  <si>
    <t>No se permite eliminar estudiantes con historial.
Los estudiantes con historial solo pueden ser inactivados.
Inactivar o eliminar requiere confirmación.
El sistema inactiva automáticamente estudiantes tras 30 días sin ingreso.</t>
  </si>
  <si>
    <t>ES-343</t>
  </si>
  <si>
    <t>EP-07 Seguimiento y Análisis del Desempeño Institucional</t>
  </si>
  <si>
    <t>Visualizar el seguimiento académico del mes en curso mediante dashboards, comparativos, alertas y métricas por áreas académicas.</t>
  </si>
  <si>
    <t>Para analizar el rendimiento institucional, identificar estudiantes y áreas en riesgo, y generar reportes que apoyen la toma de decisiones académicas oportunas.</t>
  </si>
  <si>
    <t>ES-356  Visualización de seguimiento académico institucional</t>
  </si>
  <si>
    <t>quiero visualizar un resumen del desempeño académico del mes mediante tarjetas y comparativos,</t>
  </si>
  <si>
    <t>para identificar el progreso de los cursos, áreas críticas y estudiantes que requieren atención.</t>
  </si>
  <si>
    <t>Muestra tarjetas de resumen del mes.
Muestra comparativo por cursos.
Identifica estudiantes que requieren atención.
Identifica áreas que necesitan refuerzo.</t>
  </si>
  <si>
    <t>ES-362 Detalle de estudiante y generación de reportes PDF</t>
  </si>
  <si>
    <t>quiero ver el detalle académico de un estudiante y generar reportes en PDF,</t>
  </si>
  <si>
    <t>para realizar seguimiento individual y documentar el desempeño académico.</t>
  </si>
  <si>
    <t>Permite ver el detalle del estudiante.
Muestra materias críticas con porcentaje.
Permite descargar PDF general e individual.</t>
  </si>
  <si>
    <t>ES-356</t>
  </si>
  <si>
    <t>EP-08 Gestión del Dashboard Institucional en Notificaciones</t>
  </si>
  <si>
    <t>Que el administrador institucional pueda controlar y administrar las notificaciones del sistema, marcándolas, limpiándolas, eliminándolas y filtrándolas según su estado y tipo.</t>
  </si>
  <si>
    <t>Para mantener el panel de notificaciones organizado, identificar alertas relevantes de manera rápida y facilitar la toma de decisiones oportunas desde el dashboard institucional.</t>
  </si>
  <si>
    <t>ES-373 Gestión de estado y eliminación de notificaciones</t>
  </si>
  <si>
    <r>
      <t>quiero</t>
    </r>
    <r>
      <rPr>
        <sz val="12"/>
        <color rgb="FF292A2E"/>
        <rFont val="Atlassian Sans"/>
        <charset val="1"/>
      </rPr>
      <t xml:space="preserve"> marcar, limpiar o eliminar notificaciones desde el dashboard,</t>
    </r>
  </si>
  <si>
    <r>
      <t>para</t>
    </r>
    <r>
      <rPr>
        <sz val="12"/>
        <color rgb="FF292A2E"/>
        <rFont val="Atlassian Sans"/>
        <charset val="1"/>
      </rPr>
      <t xml:space="preserve"> mantener organizado el panel de notificaciones y asegurar que solo permanezcan visibles las alertas relevantes y pendientes de atención.</t>
    </r>
  </si>
  <si>
    <t>El administrador puede marcar todas las notificaciones como leídas.
Al marcar todas como leídas, el contador de “No leídas” se actualiza a 0.
El administrador puede limpiar todas las notificaciones visibles.
El sistema muestra “Sin notificaciones” cuando el listado queda vacío.
Se puede eliminar una notificación individual desde su tarjeta.
Los contadores se actualizan tras cada acción realizada.</t>
  </si>
  <si>
    <t>ES-368 Visualización de notificaciones institucionales</t>
  </si>
  <si>
    <t>quiero visualizar las notificaciones generadas por el sistema según el rendimiento académico y la actividad de los estudiantes, organizadas por estado y tipo,</t>
  </si>
  <si>
    <t>para identificar de forma rápida y clara alertas importantes como bajo rendimiento, inactividad prolongada o áreas que requieren refuerzo, y así tomar decisiones oportunas desde el dashboard institucional.</t>
  </si>
  <si>
    <t>El sistema muestra un listado de notificaciones.
Las notificaciones se pueden filtrar por “Todas” y “No leídas”.
El contador de notificaciones coincide con el número real de registros.
Cada notificación indica el tipo de alerta y su descripción.
Si no existen notificaciones, se muestra el mensaje “Sin notificaciones”.</t>
  </si>
  <si>
    <t>EP-09 Gestión del perfil institucional</t>
  </si>
  <si>
    <t>Que el administrador institucional pueda gestionar y actualizar la información general de la institución y las configuraciones asociadas a su cuenta desde su perfil.</t>
  </si>
  <si>
    <t>Para mantener la información institucional actualizada, asegurar una gestión centralizada y garantizar un acceso seguro y controlado al sistema.</t>
  </si>
  <si>
    <t>ES-381 Gestión de datos institucionales</t>
  </si>
  <si>
    <t>Rol: Administrador institucional</t>
  </si>
  <si>
    <t>quiero visualizar y editar los datos generales de la institución, así como subir o quitar el logo institucional desde mi perfil,</t>
  </si>
  <si>
    <t>para mantener la información institucional actualizada, identificable y coherente dentro del sistema.</t>
  </si>
  <si>
    <t>El sistema muestra los datos actuales de la institución al ingresar al perfil.
Se permite editar los campos institucionales habilitados.
Los campos obligatorios deben validarse antes de guardar.
Se puede subir un logo institucional.
Se puede quitar o reemplazar el logo existente.
Al guardar cambios, el sistema confirma la actualización.
La información actualizada se refleja correctamente en el sistema.</t>
  </si>
  <si>
    <t xml:space="preserve"> </t>
  </si>
  <si>
    <t>ES- 389 Cambio de contraseña del administrador</t>
  </si>
  <si>
    <t>quiero cambiar mi contraseña desde el perfil de usuario,</t>
  </si>
  <si>
    <t>para mantener la seguridad de mi cuenta y proteger el acceso a la información institucional.</t>
  </si>
  <si>
    <t>El administrador puede acceder a la opción de cambiar contraseña.
Se solicita la contraseña actual para validar el cambio.
La nueva contraseña cumple con las reglas de seguridad definidas.
El sistema confirma el cambio exitoso de la contraseña..
Si ocurre un error, se muestra un mensaje claro al usuario.</t>
  </si>
  <si>
    <t>ES-381</t>
  </si>
  <si>
    <t>EP-10  Pruebas</t>
  </si>
  <si>
    <t>Equipo de Desarrollo y Aseguramiento de Calidad</t>
  </si>
  <si>
    <t>Que el equipo de desarrollo y aseguramiento de calidad pueda ejecutar pruebas manuales y automatizadas sobre el aplicativo web y móvil, cubriendo los procesos críticos y los flujos principales del sistema.</t>
  </si>
  <si>
    <t>Para garantizar que todas las funcionalidades cumplan los requisitos establecidos, asegurar la estabilidad del sistema y reducir riesgos de fallos en producción.</t>
  </si>
  <si>
    <t xml:space="preserve">ES-405 Ejecución de pruebas manuales y unitarias </t>
  </si>
  <si>
    <t>quiero ejecutar pruebas manuales y pruebas unitarias en el aplicativo web y móvil,</t>
  </si>
  <si>
    <t>para verificar que todas las funcionalidades estén operativas, cumplan los requisitos establecidos y no presenten fallos funcionales o técnicos.</t>
  </si>
  <si>
    <t>Se realizan pruebas manuales en todos los módulos del aplicativo.
Las pruebas unitarias cubren las funcionalidades principales.
Se validan los flujos críticos tanto en web como en móvil.
Los errores detectados son documentados.
El sistema cumple los requisitos funcionales definidos.
No existen fallos críticos sin resolver.</t>
  </si>
  <si>
    <t>ES-411 Automatización de pruebas de autenticación y flujos principales</t>
  </si>
  <si>
    <t>quiero implementar pruebas automatizadas sobre el proceso de autenticación y los flujos principales del aplicativo,</t>
  </si>
  <si>
    <t>para garantizar la estabilidad del sistema, el correcto control de acceso y el funcionamiento continuo de las funcionalidades críticas.</t>
  </si>
  <si>
    <t>El proceso de autenticación cuenta con pruebas automatizadas.
Se validan accesos correctos e incorrectos.
Las rutas protegidas son verificadas mediante pruebas automatizadas.
Los flujos principales del aplicativo están cubiertos por pruebas automatizadas.
Las pruebas pueden ejecutarse de forma repetible.
Los resultados de las pruebas son confiables.</t>
  </si>
  <si>
    <t>MOVIL</t>
  </si>
  <si>
    <t>EP-01 Entrenamiento De OpenIA</t>
  </si>
  <si>
    <t>Estudiante</t>
  </si>
  <si>
    <t>Solicitar al sistema preguntas tipo ICFES según un área y subtemas de interés, adaptadas a mi tipo de aprendizaje.</t>
  </si>
  <si>
    <t>Para practicar de manera personalizada, reforzar los temas que deseo mejorar y evitar la repetición de preguntas durante mi proceso de estudio.</t>
  </si>
  <si>
    <t>ES-256 Entrenamiento de OpenIA por área y subtemas</t>
  </si>
  <si>
    <t>Como estudiante,</t>
  </si>
  <si>
    <t>quiero seleccionar un área académica y uno o varios subtemas de mi interés para solicitar al sistema un entrenamiento personalizado</t>
  </si>
  <si>
    <t>para practicar con preguntas tipo ICFES adaptadas a mi estilo de aprendizaje y reforzar específicamente los temas en los que deseo mejorar mi desempeño.</t>
  </si>
  <si>
    <t>El estudiante puede seleccionar un área y subtemas específicos.
El sistema genera preguntas tipo ICFES relacionadas con los subtemas seleccionados.
Las preguntas no se repiten dentro del mismo entrenamiento.
Las preguntas se adaptan al estilo de aprendizaje del estudiante.</t>
  </si>
  <si>
    <t>EP-03 Autenticación de Estudiantes (Móvil)</t>
  </si>
  <si>
    <t>Iniciar sesión en el aplicativo móvil EduExce utilizando las credenciales proporcionadas por la institución.</t>
  </si>
  <si>
    <t>Para acceder de manera segura a las funcionalidades del sistema y utilizar la plataforma según mi perfil de estudiante.</t>
  </si>
  <si>
    <t>EP-101 Inicio de sesión del estudiante</t>
  </si>
  <si>
    <t>quiero iniciar sesión en el aplicativo móvil utilizando el usuario y contraseña entregados por mi institución,</t>
  </si>
  <si>
    <t>para acceder a las funcionalidades educativas de EduExce y realizar mis actividades académicas dentro de la aplicación.</t>
  </si>
  <si>
    <t>El inicio de sesión solicita usuario y contraseña.
Ambos campos son obligatorios.
Si el estudiante no está registrado, no se permite el ingreso.
Si las credenciales son correctas, se permite el acceso.
Si las credenciales son incorrectas, se muestra un mensaje de error.</t>
  </si>
  <si>
    <t>EP-03 EP-03 Recuperación de acceso del estudiante</t>
  </si>
  <si>
    <t>Recuperar el acceso a la aplicación móvil EduExce restableciendo mi contraseña mediante un código de verificación enviado a mi correo electrónico.</t>
  </si>
  <si>
    <t>Para volver a ingresar de forma segura a la aplicación cuando olvido mis credenciales y continuar usando el sistema sin interrupciones.</t>
  </si>
  <si>
    <t>EP-108 Solicitud de recuperación de contraseña</t>
  </si>
  <si>
    <t>quiero solicitar la recuperación de mi contraseña ingresando el correo electrónico que tengo registrado en la aplicación,</t>
  </si>
  <si>
    <t>para recibir un código de verificación que me permita confirmar mi identidad y continuar con el proceso de restablecimiento de acceso a la app.</t>
  </si>
  <si>
    <t>El sistema solicita el correo electrónico del estudiante.
El correo debe estar registrado en el sistema.
El sistema genera un código de verificación de 6 dígitos.
El código tiene una vigencia de 15 minutos.
Se muestra un mensaje indicando que el código fue enviado.
Si el correo no existe, se muestra un mensaje de error.</t>
  </si>
  <si>
    <t>EP- 116 Validación de código y cambio de contraseña</t>
  </si>
  <si>
    <t>quiero ingresar el código de verificación recibido y definir una nueva contraseña,</t>
  </si>
  <si>
    <t>para recuperar el acceso a la aplicación móvil de forma segura y continuar utilizando todas sus funcionalidades.</t>
  </si>
  <si>
    <t>El sistema solicita el código de verificación.
El código debe tener exactamente 6 dígitos.
El sistema valida coincidencia y vigencia del código.
Con código válido y vigente se habilita el cambio de contraseña.
La nueva contraseña debe tener exactamente 13 caracteres.
La confirmación debe coincidir con la nueva contraseña.
Al finalizar, el sistema confirma el cambio y redirige al inicio de sesión.</t>
  </si>
  <si>
    <t>EP-108</t>
  </si>
  <si>
    <t>EP-04 Evaluación del Estilo de Aprendizaje del Estudiante</t>
  </si>
  <si>
    <t>EP-127 Realización del Test de Kolb en el primer ingreso</t>
  </si>
  <si>
    <r>
      <t>quiero</t>
    </r>
    <r>
      <rPr>
        <sz val="12"/>
        <color rgb="FF292A2E"/>
        <rFont val="Arial"/>
      </rPr>
      <t xml:space="preserve"> realizar el Test de David Kolb al ingresar por primera vez a la aplicación móvil, respondiendo todas las preguntas de manera obligatoria,</t>
    </r>
  </si>
  <si>
    <t>para que el sistema identifique mi estilo de aprendizaje y pueda ofrecerme una experiencia educativa personalizada acorde a mi forma de aprender.</t>
  </si>
  <si>
    <t>El test se presenta automáticamente en el primer ingreso del estudiante.
El test solo se muestra una vez si ya fue realizado.
El test contiene 36 preguntas organizadas en 4 bloques de 9 preguntas.
Cada pregunta tiene una escala de respuesta de 1 a 4.
No se permite avanzar sin responder la pregunta actual.
No se permite finalizar el test si existen preguntas sin responder.
Al finalizar el test, el sistema determina el estilo de aprendizaje del estudiante:
Divergente
Asimilador
Acomodador
Convergente
Una vez finalizado el test, el estudiante puede continuar usando la aplicación.</t>
  </si>
  <si>
    <t>EP-05 Diagnóstico Inicial del Estudiante</t>
  </si>
  <si>
    <t>Presentar y desarrollar el diagnóstico académico inicial dentro de la aplicación móvil y visualizar mis resultados por área y porcentaje global.</t>
  </si>
  <si>
    <t>Para conocer mi nivel de conocimiento al ingresar al sistema y habilitar el acceso completo a las funcionalidades del aplicativo móvil.</t>
  </si>
  <si>
    <t>EP-137 Presentación y desarrollo del diagnóstico inicial</t>
  </si>
  <si>
    <t>quiero que al interactuar por primera vez con la aplicación se me presente un diagnóstico académico inicial con preguntas obligatorias,</t>
  </si>
  <si>
    <t>para evaluar mis conocimientos en las diferentes áreas antes de utilizar las funcionalidades del aplicativo</t>
  </si>
  <si>
    <t>El diagnóstico se presenta solo la primera vez que el estudiante interactúa con la app.
No se permite finalizar el diagnóstico si existen preguntas sin responder.
Todas las preguntas deben ser respondidas obligatoriamente.
El diagnóstico está compuesto por 5 bloques con 5 preguntas cada uno (25 preguntas en total).
Las preguntas del diagnóstico son dinámicas.
Si el diagnóstico no está completo, cualquier intento de interacción vuelve a mostrar el cuestionario.</t>
  </si>
  <si>
    <t>EP-143 Visualización de resultados y habilitación del acceso</t>
  </si>
  <si>
    <t>quiero visualizar los resultados del diagnóstico inicial organizados por área y un porcentaje global,</t>
  </si>
  <si>
    <t>para conocer mi nivel académico inicial y poder acceder a todas las funcionalidades del aplicativo.</t>
  </si>
  <si>
    <t>Al finalizar el diagnóstico, se muestran los resultados por área.
Se muestra el porcentaje global de desempeño.
Las áreas evaluadas son: Lectura Crítica, Matemáticas, Sociales y Ciudadanas, Ciencias Naturales e Inglés.
Una vez mostrados los resultados, se habilita el acceso completo a la aplicación.
El diagnóstico no vuelve a mostrarse si ya fue completado.</t>
  </si>
  <si>
    <t>EP-137</t>
  </si>
  <si>
    <t>EP-06 Navegación y Progresión Académica en el Mapa de Islas</t>
  </si>
  <si>
    <t>Navegar por un mapa interactivo de islas para acceder a las áreas académicas, realizar la Prueba de Conocimiento y avanzar progresivamente por niveles según mi desempeño.</t>
  </si>
  <si>
    <t>Para vivir una experiencia de aprendizaje guiada y motivadora, reforzar mis conocimientos por áreas y visualizar mis resultados académicos de forma clara al finalizar cada actividad.</t>
  </si>
  <si>
    <t>EP-149 Progreso por áreas académicas en el mapa de islas</t>
  </si>
  <si>
    <t>quiero ingresar a las islas correspondientes a las áreas académicas y avanzar por niveles de forma progresiva según mis resultados,</t>
  </si>
  <si>
    <t>para fortalecer mis conocimientos por área, visualizar mi progreso y desbloquear nuevos retos a medida que demuestro un mejor desempeño académico.</t>
  </si>
  <si>
    <t>El mapa muestra 5 islas correspondientes a las áreas académicas.
Cada área contiene 5 niveles y un examen final.
Al iniciar, solo el primer nivel de cada área está desbloqueado.
Se avanza al siguiente nivel al obtener mínimo 4 aciertos.
Desde el nivel 2, el estudiante dispone de 3 vidas.
Si se agotan las vidas, el estudiante regresa al nivel anterior.
Al completar los 5 niveles se habilita el examen final del área.
Al finalizar cualquier actividad, se muestran resultados por área y porcentaje global.</t>
  </si>
  <si>
    <t>EP-157 Prueba de Conocimiento en modalidad fácil y difícil</t>
  </si>
  <si>
    <t>quiero realizar la Prueba de Conocimiento eligiendo entre una modalidad fácil o difícil,</t>
  </si>
  <si>
    <t>para evaluar mi nivel académico general bajo diferentes condiciones de tiempo y dificultad, y conocer mis resultados globales de desempeño.</t>
  </si>
  <si>
    <t>La isla de Prueba de Conocimiento está disponible desde el inicio.
El estudiante puede elegir entre modalidad fácil y difícil.
Ambas modalidades contienen 25 preguntas dinámicas.
En modalidad fácil no hay límite de tiempo por pregunta.
En modalidad difícil cada pregunta tiene un límite de 1 minuto.
Si se acaba el tiempo en modalidad difícil, la pregunta queda sin responder.
Al finalizar, solo se muestran resultados por área y porcentaje global.</t>
  </si>
  <si>
    <t>EP-164</t>
  </si>
  <si>
    <t>EP-07 Generación de Preguntas Académicas</t>
  </si>
  <si>
    <t>Responder preguntas académicas generadas dinámicamente por inteligencia artificial, adaptadas a mi nivel, subtema y estilo de aprendizaje, con retroalimentación inmediata.</t>
  </si>
  <si>
    <t>Para evaluar mi desempeño, recibir recomendaciones personalizadas que fortalezcan mi aprendizaje y permitir que el sistema registre mi historial académico para un seguimiento continuo.</t>
  </si>
  <si>
    <t>EP-164 Resolución de preguntas dinámicas generadas por IA</t>
  </si>
  <si>
    <t>quiero que al ingresar a un nivel el sistema genere automáticamente preguntas dinámicas mediante inteligencia artificial, alineadas al subtema del nivel y adaptadas a mi estilo de aprendizaje,</t>
  </si>
  <si>
    <t>para practicar los contenidos académicos de forma personalizada, diferente en cada intento y acorde a mi manera de aprender.</t>
  </si>
  <si>
    <t>Cada nivel genera exactamente 5 preguntas dinámicas.
Las preguntas están alineadas al subtema del nivel.
Las preguntas se adaptan al estilo de aprendizaje del estudiante según el Test de Kolb.
Las preguntas se reemplazan cada vez que el estudiante vuelve a practicar el nivel.
En la Isla de Conocimiento y el examen final, las preguntas provienen del banco de preguntas.</t>
  </si>
  <si>
    <t>EP-170 Evaluación inmediata y recomendaciones</t>
  </si>
  <si>
    <t>quiero recibir retroalimentación inmediata sobre cada respuesta que selecciono y obtener recomendaciones personalizadas según mi desempeño,</t>
  </si>
  <si>
    <t>para identificar mis errores, reforzar los subtemas donde tengo dificultades y mejorar progresivamente mis resultados académicos.</t>
  </si>
  <si>
    <t>El sistema indica si la respuesta es correcta o incorrecta.
Se muestra la opción marcada por el estudiante junto con la opción correcta.
La IA analiza las respuestas del estudiante.
Se generan recomendaciones personalizadas por subtema.
Las recomendaciones se reemplazan cuando el estudiante vuelve a practicar.
Los resultados se almacenan en el historial académico del estudiante.</t>
  </si>
  <si>
    <t>EP-08 Visualización del Progreso Académico del Estudiante</t>
  </si>
  <si>
    <t>Consultar mi progreso académico dentro de la aplicación móvil EduExce, visualizando mi avance global, el desempeño por áreas, la comparación con el diagnóstico inicial y el historial de mis prácticas y simulacros.</t>
  </si>
  <si>
    <t>Para comprender mi evolución académica, identificar mis fortalezas y debilidades y analizar en detalle mi desempeño para mejorar mi proceso de aprendizaje.</t>
  </si>
  <si>
    <t>EP-177 Visualización del resumen de progreso</t>
  </si>
  <si>
    <t>quiero visualizar un resumen claro de mi progreso académico global y por cada área practicada,</t>
  </si>
  <si>
    <t>para conocer mi nivel actual, el porcentaje de avance alcanzado y el estado de cada materia dentro del aplicativo.</t>
  </si>
  <si>
    <t>Se muestra un gráfico con el progreso global del estudiante.
Se muestran tarjetas por área con porcentaje de avance y estado.
Se indica el nivel actual alcanzado en cada área.
La información presentada corresponde al progreso vigente del estudiante.</t>
  </si>
  <si>
    <t>EP-182 Comparación entre diagnóstico inicial y progreso actual</t>
  </si>
  <si>
    <t>quiero comparar mi diagnóstico inicial con mi progreso actual por cada área,</t>
  </si>
  <si>
    <t>para identificar cuánto he mejorado, si me he mantenido igual o si he disminuido mi desempeño desde que comencé a usar la aplicación.</t>
  </si>
  <si>
    <t>Se muestra el resultado inicial proveniente del diagnóstico inicial.
Se muestra el resultado actual basado en el progreso del estudiante.
La comparación se realiza por cada área.
La información es clara y fácil de interpretar.</t>
  </si>
  <si>
    <t>EP-177</t>
  </si>
  <si>
    <t>EP-187 Consulta del historial y detalle de prácticas</t>
  </si>
  <si>
    <r>
      <t>quiero</t>
    </r>
    <r>
      <rPr>
        <sz val="12"/>
        <color rgb="FF292A2E"/>
        <rFont val="Arial"/>
      </rPr>
      <t xml:space="preserve"> consultar el historial de mis prácticas y simulacros realizados por área o en conjunto,</t>
    </r>
  </si>
  <si>
    <r>
      <t>para</t>
    </r>
    <r>
      <rPr>
        <sz val="12"/>
        <color rgb="FF292A2E"/>
        <rFont val="Arial"/>
      </rPr>
      <t xml:space="preserve"> analizar en detalle mi desempeño, revisar las preguntas respondidas y entender mis resultados.</t>
    </r>
  </si>
  <si>
    <t>Se muestra una lista de prácticas y simulacros con área, nivel y fecha.
El estudiante puede filtrar por área o ver todas las áreas.
Al seleccionar un registro, se muestra el detalle completo.
El detalle incluye resumen, preguntas y análisis.</t>
  </si>
  <si>
    <t xml:space="preserve">EP-182 </t>
  </si>
  <si>
    <t>EP-9 Ranking y Logros del Estudiante</t>
  </si>
  <si>
    <t>Visualizar mi posición en el ranking frente a otros estudiantes y los logros obtenidos dentro del aplicativo EduExce, según mis puntajes y progreso por área académica.</t>
  </si>
  <si>
    <t>Para conocer mi desempeño relativo, motivarme a mejorar mis resultados y reconocer los logros alcanzados y los que aún puedo desbloquear en cada área.</t>
  </si>
  <si>
    <t>EP-194 Visualización del ranking de estudiantes</t>
  </si>
  <si>
    <t>quiero visualizar un ranking que compare mi puntaje con el de los demás estudiantes que utilizan el aplicativo,</t>
  </si>
  <si>
    <r>
      <t>para</t>
    </r>
    <r>
      <rPr>
        <sz val="12"/>
        <color rgb="FF292A2E"/>
        <rFont val="Arial"/>
      </rPr>
      <t xml:space="preserve"> conocer mi posición actual, motivarme a mejorar mi desempeño académico y esforzarme por alcanzar mejores resultados dentro del sistema.</t>
    </r>
  </si>
  <si>
    <t>El ranking se calcula con base en el puntaje total del estudiante.
Los estudiantes se ordenan de forma descendente según su puntaje.
Se muestra la posición actual del estudiante dentro del ranking.
Se visualiza un listado con el Top 5 de estudiantes con su nombre y puntaje.
La información presentada es clara y actualizada.</t>
  </si>
  <si>
    <t>EP-201 Visualización de logros e insignias</t>
  </si>
  <si>
    <t>quiero visualizar las insignias o logros obtenidos por cada área académica,</t>
  </si>
  <si>
    <t>para identificar mi progreso, reconocer mis avances y saber qué áreas aún debo completar para desbloquear nuevos logros.</t>
  </si>
  <si>
    <t>Las insignias se muestran por cada área académica.
Las insignias bloqueadas aparecen en color gris.
Una insignia se desbloquea cuando el estudiante completa los 5 niveles y presenta el examen final del área.
Las insignias desbloqueadas se muestran visualmente diferenciadas.
El estado de cada insignia refleja correctamente el progreso real del estudiante.</t>
  </si>
  <si>
    <t>EP-10 Retos entre estudiantes</t>
  </si>
  <si>
    <t>Crear, aceptar o participar en retos competitivos uno contra uno seleccionando un área académica y enfrentándome a otro estudiante mediante un duelo de preguntas.</t>
  </si>
  <si>
    <t>Para evaluar mis conocimientos en un entorno competitivo, compararme con otros estudiantes y fortalecer mi aprendizaje de manera dinámica y motivadora.</t>
  </si>
  <si>
    <t>EP-207 Creación y envío de reto 1 vs 1</t>
  </si>
  <si>
    <t>quiero crear un reto 1 vs 1 seleccionando un área de conocimiento y un oponente que se encuentre disponible en línea,</t>
  </si>
  <si>
    <t>para competir de manera justa contra otro estudiante y poner a prueba mis conocimientos de forma interactiva dentro del aplicativo.</t>
  </si>
  <si>
    <t>El estudiante puede seleccionar un área para el reto.
Solo se muestran como seleccionables los oponentes que estén en línea.
Los estudiantes que están participando en otro reto aparecen deshabilitados.
Al enviar el reto, este queda en estado “pendiente”.
Si el oponente rechaza o abandona, el reto cambia a estado “rechazado”.
El creador del reto permanece en sala de espera hasta recibir respuesta.</t>
  </si>
  <si>
    <t>EP-214 Participación y finalización del reto 1 vs 1</t>
  </si>
  <si>
    <t>quiero participar en un reto 1 vs 1 respondiendo preguntas competitivas contra otro estudiante,</t>
  </si>
  <si>
    <t>para conocer el resultado del duelo, comparar mi desempeño y registrar el resultado del enfrentamiento en el sistema.</t>
  </si>
  <si>
    <t>Al aceptar el reto, ambos estudiantes ingresan a la sala del duelo.
El reto se compone de 25 preguntas dinámicas.
El sistema registra las respuestas y el tiempo de cada jugador.
El ganador se define por mayor número de respuestas correctas.
En caso de empate, gana quien tenga menor tiempo total.
Al finalizar, se registra el resultado de ambos jugadores.</t>
  </si>
  <si>
    <t>EP-207</t>
  </si>
  <si>
    <t>EP-11 Actividad Mental en Realidad Aumentada</t>
  </si>
  <si>
    <t>Acceder a experiencias de aprendizaje y juego en Realidad Aumentada dentro del aplicativo, organizadas por áreas académicas.</t>
  </si>
  <si>
    <t>Para reforzar mis conocimientos mediante actividades interactivas y mejorar mi experiencia de aprendizaje, recibiendo información clara cuando el dispositivo o los permisos no permitan ejecutar la Realidad Aumentada.</t>
  </si>
  <si>
    <t>EP-221 Uso de actividades mentales en RA</t>
  </si>
  <si>
    <t>quiero acceder a actividades mentales basadas en Realidad Aumentada organizadas por áreas académicas, con diferentes experiencias interactivas</t>
  </si>
  <si>
    <t>para aprender y reforzar mis conocimientos de forma dinámica, visual y lúdica, utilizando mi dispositivo móvil como medio de interacción.</t>
  </si>
  <si>
    <t>El sistema muestra un carrusel con las áreas académicas disponibles.
El estudiante puede seleccionar una experiencia de Realidad Aumentada.
Si no se conceden permisos de cámara, la experiencia no inicia y se muestra un mensaje de error.
Las experiencias RA funcionan correctamente solo en dispositivos compatibles.
Cada experiencia responde a las interacciones definidas.</t>
  </si>
  <si>
    <t xml:space="preserve">
EP-12 Gestión del Perfil del Estudiante</t>
  </si>
  <si>
    <t>Visualizar y actualizar mi perfil personal dentro de la aplicación móvil EduExce, incluyendo mi información académica, datos permitidos, foto de perfil y mi estilo de aprendizaje.</t>
  </si>
  <si>
    <t>Para mantener mi información actualizada, conocer mi estilo de aprendizaje y personalizar mi experiencia dentro del aplicativo.</t>
  </si>
  <si>
    <t>EP-232 Visualización y actualización del perfil del estudiante</t>
  </si>
  <si>
    <t>quiero visualizar mi perfil personal con mi información académica, datos de contacto, foto y estilo de aprendizaje, y poder actualizar algunos de estos datos cuando sea necesario,</t>
  </si>
  <si>
    <t>para mantener mi información actualizada dentro del aplicativo y conocer cómo aprendo según el Test de Kolb, facilitando una experiencia más personalizada en EduExce.</t>
  </si>
  <si>
    <t>El perfil muestra la información personal y académica del estudiante.
Si el estudiante no tiene foto, se muestra un ícono por defecto.
El estudiante puede seleccionar, previsualizar, guardar o eliminar su foto de perfil.
Solo se permite editar correo, teléfono y dirección.
No se permite guardar cambios si algún campo editable está vacío o es inválido.
Se muestra el estilo de aprendizaje definido por el Test de Kolb.
Al actualizar correctamente, los cambios quedan almacenados y visibles.</t>
  </si>
  <si>
    <t>EP-13 Configuración de Cuenta del Estudiante</t>
  </si>
  <si>
    <t>Gestionar la configuración básica de mi cuenta en la aplicación móvil EduExce, pudiendo cambiar mi contraseña de forma segura y cerrar sesión cuando lo desee.</t>
  </si>
  <si>
    <t>Para proteger mi información personal, mantener el control de mi acceso al sistema y garantizar una sesión segura dentro del aplicativo.</t>
  </si>
  <si>
    <t>EP-244 Cambio de contraseña del estudiante</t>
  </si>
  <si>
    <t>quiero cambiar la contraseña de mi cuenta desde la sección de configuración ingresando mi contraseña actual y definiendo una nueva contraseña válida,</t>
  </si>
  <si>
    <t>para mantener segura mi cuenta, proteger mi información personal y garantizar que solo yo tenga acceso al aplicativo EduExce.</t>
  </si>
  <si>
    <t>El sistema solicita contraseña actual, nueva contraseña y confirmación.
La contraseña actual debe coincidir con la registrada en el sistema.
La nueva contraseña debe tener exactamente 13 caracteres.
La nueva contraseña debe coincidir con la confirmación.
Si ocurre un error, el sistema muestra un mensaje claro y no realiza cambios.
Si el cambio es exitoso, el estudiante puede iniciar sesión con la nueva contraseña.</t>
  </si>
  <si>
    <t>EP-251 Cierre de sesión del estudiante</t>
  </si>
  <si>
    <t>quiero cerrar sesión desde la sección de configuración del aplicativo,</t>
  </si>
  <si>
    <t>para finalizar de forma segura mi sesión activa y evitar que otras personas accedan a mi cuenta desde el mismo dispositivo.</t>
  </si>
  <si>
    <t>El estudiante puede cerrar sesión en cualquier momento.
Al cerrar sesión, se finaliza la sesión activa.
El sistema redirige automáticamente a la pantalla de inicio de sesión.
No se permite el acceso a funcionalidades sin iniciar sesión nuevamente.</t>
  </si>
  <si>
    <t>Id Tarea</t>
  </si>
  <si>
    <t>ID Historia</t>
  </si>
  <si>
    <t>Tarea</t>
  </si>
  <si>
    <t>Tipo de Tarea
 (RF/RNF)</t>
  </si>
  <si>
    <t>Estimación 
 (días)</t>
  </si>
  <si>
    <t>Responsable</t>
  </si>
  <si>
    <t>Dependencias 
 (ID)</t>
  </si>
  <si>
    <t xml:space="preserve">Prioridad </t>
  </si>
  <si>
    <t>Estado 
 (%)</t>
  </si>
  <si>
    <t>Condición de aprobación</t>
  </si>
  <si>
    <t>Aprobado</t>
  </si>
  <si>
    <t>Miembro del equipo que lo especifico.</t>
  </si>
  <si>
    <t>HU01</t>
  </si>
  <si>
    <t xml:space="preserve">Pagina Principal </t>
  </si>
  <si>
    <t>RF/RNF</t>
  </si>
  <si>
    <t xml:space="preserve">5 Dias </t>
  </si>
  <si>
    <t xml:space="preserve">Pedro </t>
  </si>
  <si>
    <t xml:space="preserve">Esta relacionada con 3. Registro 12.Iniciar secion   </t>
  </si>
  <si>
    <t>ALTA</t>
  </si>
  <si>
    <t>Mostrar el Login, seccion de noticias, Tutorial y ajuste de pantalla de acuerdo a la resolucion de pantalla (Responsive Web Design).</t>
  </si>
  <si>
    <t>Hamilton</t>
  </si>
  <si>
    <t>ES-396</t>
  </si>
  <si>
    <t>ES-395 - Entrenamiento y ajuste del modelo de OpenIA</t>
  </si>
  <si>
    <t>Diseñar la interfaz de configuración del entrenamiento</t>
  </si>
  <si>
    <t>RF</t>
  </si>
  <si>
    <t xml:space="preserve">4 dias </t>
  </si>
  <si>
    <t>Carlos Pinza</t>
  </si>
  <si>
    <t>Ninguna</t>
  </si>
  <si>
    <t>Crear la pantalla donde el administrador define parámetros como área, nivel, tipo de evaluación, dificultad y estilo de aprendizaje.</t>
  </si>
  <si>
    <t>Si</t>
  </si>
  <si>
    <t>ES-397</t>
  </si>
  <si>
    <t>Validar los insumos del entrenamiento</t>
  </si>
  <si>
    <t>Implementar validaciones para asegurar que los parámetros definidos sean completos y coherentes antes de iniciar el entrenamiento.</t>
  </si>
  <si>
    <t>ES-398</t>
  </si>
  <si>
    <t>Implementar la lógica para iniciar el entrenamiento del modelo</t>
  </si>
  <si>
    <t>Desarrollar la funcionalidad que permita ejecutar el proceso de entrenamiento del modelo de IA.</t>
  </si>
  <si>
    <t>ES-399</t>
  </si>
  <si>
    <t>Monitorear el estado del proceso de entrenamiento</t>
  </si>
  <si>
    <t xml:space="preserve">Alta </t>
  </si>
  <si>
    <t>Mostrar al administrador el progreso, estado y finalización del entrenamiento.</t>
  </si>
  <si>
    <t>ES-401</t>
  </si>
  <si>
    <t>ES-400 - Validación de preguntas generadas por la IA</t>
  </si>
  <si>
    <t>Mostrar las preguntas generadas por la IA</t>
  </si>
  <si>
    <t>Implementar la visualización de las preguntas producidas por el modelo entrenado.</t>
  </si>
  <si>
    <t>ES-402</t>
  </si>
  <si>
    <t>Asociar metadatos académicos a cada pregunta</t>
  </si>
  <si>
    <t>Mostrar información como área, nivel, tipo de evaluación y dificultad.</t>
  </si>
  <si>
    <t>ES-403</t>
  </si>
  <si>
    <t>Permitir revisión individual de preguntas</t>
  </si>
  <si>
    <t>Facilitar la lectura y análisis detallado de cada pregunta generada.</t>
  </si>
  <si>
    <t>ES-404</t>
  </si>
  <si>
    <t>Implementar validación de calidad de preguntas</t>
  </si>
  <si>
    <t>Permitir marcar preguntas como válidas o no válidas según criterios académicos.</t>
  </si>
  <si>
    <t>ES-420</t>
  </si>
  <si>
    <t xml:space="preserve">  EP-02  Registro de inhstitucion </t>
  </si>
  <si>
    <t>Diseñar formulario de registro institucional</t>
  </si>
  <si>
    <t>4 dias</t>
  </si>
  <si>
    <t>Sirley</t>
  </si>
  <si>
    <t>Ningu</t>
  </si>
  <si>
    <t>Alta</t>
  </si>
  <si>
    <t>100%%</t>
  </si>
  <si>
    <t>El formulario incluye todos los campos requeridos y se visualiza correctamente</t>
  </si>
  <si>
    <t>si</t>
  </si>
  <si>
    <t>Sirkley Diaz</t>
  </si>
  <si>
    <t>ES-421</t>
  </si>
  <si>
    <t>HU-01 Registro de inhstitucion</t>
  </si>
  <si>
    <t>Implementar validación de campos obligatorios</t>
  </si>
  <si>
    <t>4 Dias</t>
  </si>
  <si>
    <t>alta</t>
  </si>
  <si>
    <t>El sistema no permite enviar el formulario con campos obligatorios vacíos</t>
  </si>
  <si>
    <t>ES-422</t>
  </si>
  <si>
    <t>Validar coincidencia de contraseña</t>
  </si>
  <si>
    <t>4dias</t>
  </si>
  <si>
    <t>La contraseña y la confirmación coinciden antes de permitir el registro</t>
  </si>
  <si>
    <t>Sirley Diaz</t>
  </si>
  <si>
    <t>ES-423</t>
  </si>
  <si>
    <t>Validar formato de correo institucional</t>
  </si>
  <si>
    <t>El sistema valida que el correo tenga un formato correcto</t>
  </si>
  <si>
    <t>SI</t>
  </si>
  <si>
    <t>ES-424</t>
  </si>
  <si>
    <t>Mostrar mensajes de error por validación</t>
  </si>
  <si>
    <t>E-420,421,422</t>
  </si>
  <si>
    <t>Se muestran mensajes claros indicando el error y cómo corregirlo</t>
  </si>
  <si>
    <t>ES-426</t>
  </si>
  <si>
    <t>Registrar institución en la base de datos</t>
  </si>
  <si>
    <t>La información de la institución se guarda correctamente en la base de datos</t>
  </si>
  <si>
    <t>ES-427</t>
  </si>
  <si>
    <t>Mostrar mensaje de registro exitoso</t>
  </si>
  <si>
    <t>ES-.425</t>
  </si>
  <si>
    <t>El sistema muestra confirmación visual de registro exitoso</t>
  </si>
  <si>
    <t>Redirigir al inicio de sesión</t>
  </si>
  <si>
    <t>El usuario es redirigido al login después del registro exitoso</t>
  </si>
  <si>
    <t>T-01</t>
  </si>
  <si>
    <t>HU-01 Inicio de sesión institucional</t>
  </si>
  <si>
    <t>Crear formulario de inicio de sesión institucional</t>
  </si>
  <si>
    <t>La interfaz muestra los campos de correo institucional y contraseña correctamente</t>
  </si>
  <si>
    <t>T-.02</t>
  </si>
  <si>
    <t>Validar campos obligatorios de inicio de sesión</t>
  </si>
  <si>
    <t>El sistema impide el envío si el correo o la contraseña están vacíos</t>
  </si>
  <si>
    <t>T-03</t>
  </si>
  <si>
    <t>Validar existencia de la institución</t>
  </si>
  <si>
    <t>T-02</t>
  </si>
  <si>
    <t>El sistema verifica que el correo institucional esté asociado a una institución registrada</t>
  </si>
  <si>
    <t>T-04</t>
  </si>
  <si>
    <t>Validar credenciales de acceso</t>
  </si>
  <si>
    <t>El sistema compara correctamente el correo y la contraseña con los datos almacenados</t>
  </si>
  <si>
    <t>T-05</t>
  </si>
  <si>
    <t>Permitir acceso al sistema</t>
  </si>
  <si>
    <t>El administrador accede al sistema cuando las credenciales son correctas</t>
  </si>
  <si>
    <t>T-06</t>
  </si>
  <si>
    <t>Mostrar mensaje de error por credenciales incorrectas</t>
  </si>
  <si>
    <t>El sistema informa claramente cuando el correo o la contraseña no son válidos</t>
  </si>
  <si>
    <t>T-07</t>
  </si>
  <si>
    <t>Bloquear acceso cuando la institución no existe</t>
  </si>
  <si>
    <t>Se bloquea el acceso y se muestra un mensaje si la institución no está registrada</t>
  </si>
  <si>
    <t>T-08</t>
  </si>
  <si>
    <t>Redirigir al panel institucional</t>
  </si>
  <si>
    <t>El administrador es redirigido al panel institucional tras iniciar sesión correctamente</t>
  </si>
  <si>
    <t>HU-01  Solicitud de recuperación de contraseña</t>
  </si>
  <si>
    <t>Crear formulario de recuperación de acceso</t>
  </si>
  <si>
    <t>Bryan</t>
  </si>
  <si>
    <t>La interfaz permite ingresar el correo institucional correctamente</t>
  </si>
  <si>
    <t>HU-01 Solicitud de recuperación de contraseña</t>
  </si>
  <si>
    <t>Validar formato y existencia del correo institucional</t>
  </si>
  <si>
    <t>4  dias</t>
  </si>
  <si>
    <t>El sistema valida formato y existencia del correo en la base de datos</t>
  </si>
  <si>
    <t>Generar código de verificación de 6 dígitos</t>
  </si>
  <si>
    <t>Se genera un código único de 6 dígitos para recuperación</t>
  </si>
  <si>
    <t>Enviar código de verificación al correo</t>
  </si>
  <si>
    <t>El código es enviado correctamente al correo institucional</t>
  </si>
  <si>
    <t>Registrar vigencia del código de verificación</t>
  </si>
  <si>
    <t>El código queda almacenado con una vigencia de 15 minutos</t>
  </si>
  <si>
    <t>Mostrar mensaje de código enviado</t>
  </si>
  <si>
    <t>El sistema informa que el código fue enviado correctamente</t>
  </si>
  <si>
    <t>HU-02  Validación de código y cambio de contraseña</t>
  </si>
  <si>
    <t>Crear formulario de validación de código</t>
  </si>
  <si>
    <t>La interfaz permite ingresar el código de verificación</t>
  </si>
  <si>
    <t>HU-02 Validación de código y cambio de contraseña</t>
  </si>
  <si>
    <t>Validar coincidencia y vigencia del código</t>
  </si>
  <si>
    <t>El sistema valida que el código sea correcto y no esté vencido</t>
  </si>
  <si>
    <t>T-09</t>
  </si>
  <si>
    <t>Habilitar formulario de cambio de contraseña</t>
  </si>
  <si>
    <t>El formulario se habilita solo si el código es válido</t>
  </si>
  <si>
    <t>T-10</t>
  </si>
  <si>
    <t>Validar nueva contraseña y confirmación</t>
  </si>
  <si>
    <t>La contraseña y su confirmación coinciden correctamente</t>
  </si>
  <si>
    <t>T-11</t>
  </si>
  <si>
    <t>Actualizar contraseña en el sistema</t>
  </si>
  <si>
    <t>La nueva contraseña se guarda de forma segura</t>
  </si>
  <si>
    <t>T-12</t>
  </si>
  <si>
    <t>Confirmar recuperación de acceso exitosa</t>
  </si>
  <si>
    <t>Se muestra mensaje de recuperación exitosa</t>
  </si>
  <si>
    <t>T-13</t>
  </si>
  <si>
    <t xml:space="preserve">RF </t>
  </si>
  <si>
    <t>El administrador es redirigido al login para iniciar sesión</t>
  </si>
  <si>
    <t>HU-01 Visualización del dashboard institucional</t>
  </si>
  <si>
    <t>Diseñar la estructura visual del dashboard institucional</t>
  </si>
  <si>
    <t>El dashboard presenta una estructura clara con tarjetas, gráficas y barras bien distribuidas</t>
  </si>
  <si>
    <t>Implementar tarjetas informativas por área académica</t>
  </si>
  <si>
    <t>Las tarjetas muestran cada área académica con el conteo correcto de estudiantes</t>
  </si>
  <si>
    <t>Desarrollar gráfica de desempeño mensual</t>
  </si>
  <si>
    <t>La gráfica permite visualizar el rendimiento institucional por mes</t>
  </si>
  <si>
    <t>Habilitar interacción con la gráfica por mes</t>
  </si>
  <si>
    <t>Al seleccionar un mes se muestra el detalle correspondiente</t>
  </si>
  <si>
    <t>Implementar barras de rendimiento por área</t>
  </si>
  <si>
    <t>Las barras comparan visualmente el desempeño de cada área académica</t>
  </si>
  <si>
    <t>Actualizar automáticamente los conteos por área</t>
  </si>
  <si>
    <t>Los conteos se actualizan automáticamente según la actividad de los estudiantes</t>
  </si>
  <si>
    <t>Comparar desempeño del mes actual frente al mes anterior</t>
  </si>
  <si>
    <t>El sistema calcula y muestra la comparación mensual por área</t>
  </si>
  <si>
    <t>Cargar datos del dashboard al iniciar sesión</t>
  </si>
  <si>
    <t>T-06, T-07</t>
  </si>
  <si>
    <t>El dashboard se carga automáticamente al iniciar sesión</t>
  </si>
  <si>
    <t>Validar visualización correcta del dashboard</t>
  </si>
  <si>
    <t>Las tarjetas, gráficas y barras muestran información correcta y actualizada</t>
  </si>
  <si>
    <t>HU-01 Visualización y búsqueda de estudiantes</t>
  </si>
  <si>
    <t>Construir vista del listado de estudiantes</t>
  </si>
  <si>
    <t>El listado muestra todos los estudiantes de forma clara y ordenada</t>
  </si>
  <si>
    <t>Implementar filtros por grado, curso y jornada</t>
  </si>
  <si>
    <t>Los filtros actualizan dinámicamente el listado según los criterios seleccionados</t>
  </si>
  <si>
    <t>Implementar buscador por nombre y apellido</t>
  </si>
  <si>
    <t>El buscador localiza estudiantes por nombre o apellido</t>
  </si>
  <si>
    <t>Actualizar resultados según filtros y búsqueda</t>
  </si>
  <si>
    <t>T-02, T-03</t>
  </si>
  <si>
    <t>Filtros y búsqueda funcionan combinados sin recargar la página</t>
  </si>
  <si>
    <t>HU-02  Registro de estudiantes y generación de credenciales</t>
  </si>
  <si>
    <t>Crear formulario de registro individual de estudiantes</t>
  </si>
  <si>
    <t>El formulario permite registrar estudiantes validando campos obligatorios</t>
  </si>
  <si>
    <t>HU-02 Registro de estudiantes y generación de credenciales</t>
  </si>
  <si>
    <t>Validar duplicados por número de documento</t>
  </si>
  <si>
    <t>El sistema evita registros duplicados y muestra mensaje informativo</t>
  </si>
  <si>
    <t>Generar credenciales automáticamente</t>
  </si>
  <si>
    <t xml:space="preserve">T-06 </t>
  </si>
  <si>
    <t>El sistema genera usuario y contraseña automáticamente</t>
  </si>
  <si>
    <t>Implementar importación de estudiantes desde CSV/Excel</t>
  </si>
  <si>
    <t>Se cargan y procesan archivos CSV o Excel correctamente</t>
  </si>
  <si>
    <t>Generar resumen del proceso de importación</t>
  </si>
  <si>
    <t>T-O8</t>
  </si>
  <si>
    <t>Se muestra resumen de registros exitosos y rechazados</t>
  </si>
  <si>
    <t>HU-03  Administración del estado de estudiantes</t>
  </si>
  <si>
    <t>Implementar validación de historial del estudiante</t>
  </si>
  <si>
    <t>El sistema identifica si el estudiante tiene historial asociado</t>
  </si>
  <si>
    <t>HU-03 Administración del estado de estudiantes</t>
  </si>
  <si>
    <t>Implementar inactivación de estudiantes</t>
  </si>
  <si>
    <t>El estudiante cambia a estado inactivo conservando su información</t>
  </si>
  <si>
    <t>Implementar eliminación de estudiantes sin historial</t>
  </si>
  <si>
    <t>El sistema elimina estudiantes sin historial asociado</t>
  </si>
  <si>
    <t>Mostrar confirmaciones para inactivar o eliminar</t>
  </si>
  <si>
    <t>T-11, T-12</t>
  </si>
  <si>
    <t>Se muestran mensajes de confirmación antes de acciones críticas</t>
  </si>
  <si>
    <t>T-14</t>
  </si>
  <si>
    <t xml:space="preserve">T-11 </t>
  </si>
  <si>
    <t>Estudiantes se inactivan automáticamente tras 30 días sin iniciar sesión</t>
  </si>
  <si>
    <t>HU-01 Visualización de seguimiento académico institucional</t>
  </si>
  <si>
    <t>Diseñar dashboard de seguimiento institucional</t>
  </si>
  <si>
    <t>El dashboard muestra tarjetas, tablas y gráficos de seguimiento</t>
  </si>
  <si>
    <t>Implementar tarjetas de resumen del mes</t>
  </si>
  <si>
    <t>Se muestran promedio actual, mejora del mes y estudiantes en riesgo</t>
  </si>
  <si>
    <t>Implementar comparativo por cursos</t>
  </si>
  <si>
    <t>El sistema muestra curso, estudiantes, promedio y progreso porcentual</t>
  </si>
  <si>
    <t>Identificar estudiantes que requieren atención</t>
  </si>
  <si>
    <t>Se listan estudiantes con bajo desempeño y última actividad</t>
  </si>
  <si>
    <t>Mostrar áreas que necesitan refuerzo</t>
  </si>
  <si>
    <t>Se muestran tarjetas por área con nivel, subtema y porcentaje</t>
  </si>
  <si>
    <t>HU-02  Detalle de estudiante y generación de reportes PDF</t>
  </si>
  <si>
    <t>Implementar vista de detalle del estudiante</t>
  </si>
  <si>
    <t>Se muestra información personal, curso y última actividad</t>
  </si>
  <si>
    <t>HU-02 Detalle de estudiante y generación de reportes PDF</t>
  </si>
  <si>
    <t>Mostrar materias críticas del estudiante</t>
  </si>
  <si>
    <t>Se visualizan áreas y subtemas críticos con barras porcentuales</t>
  </si>
  <si>
    <t>Generar PDF general del listado visible</t>
  </si>
  <si>
    <t>Se permite descargar PDF del listado visible</t>
  </si>
  <si>
    <t>Generar PDF individual del estudiante</t>
  </si>
  <si>
    <t>Se permite descargar PDF con detalle académico del estudiante</t>
  </si>
  <si>
    <t>HU-01 Gestión de estado y eliminación de notificaciones</t>
  </si>
  <si>
    <t>Implementar acción “Marcar todas como leídas”</t>
  </si>
  <si>
    <t>Ninguno</t>
  </si>
  <si>
    <t>Todas las notificaciones visibles cambian a estado leído</t>
  </si>
  <si>
    <t>Actualizar contadores tras marcar notificaciones</t>
  </si>
  <si>
    <t>Los contadores se actualizan correctamente tras marcar como leídas</t>
  </si>
  <si>
    <t>Implementar acción “Limpiar todas” las notificaciones</t>
  </si>
  <si>
    <t>Se eliminan todas las notificaciones visibles según el filtro activo</t>
  </si>
  <si>
    <t>Mostrar estado vacío del panel de notificaciones</t>
  </si>
  <si>
    <t>Se muestra el mensaje “Sin notificaciones” cuando no hay registros</t>
  </si>
  <si>
    <t>Eliminar notificación individual</t>
  </si>
  <si>
    <t>Se elimina una notificación seleccionada mediante el botón de cierre</t>
  </si>
  <si>
    <t>Actualizar contadores tras eliminar notificaciones</t>
  </si>
  <si>
    <t>T-03, T-05</t>
  </si>
  <si>
    <t>Los contadores reflejan correctamente las notificaciones restantes</t>
  </si>
  <si>
    <t>HU-02 Visualización de notificaciones institucionales</t>
  </si>
  <si>
    <t>Mostrar listado de notificaciones en el dashboard institucional</t>
  </si>
  <si>
    <t>Las notificaciones se muestran en formato de tarjetas con información clara</t>
  </si>
  <si>
    <t>Implementar filtros por estado de notificación</t>
  </si>
  <si>
    <t>El listado se actualiza dinámicamente entre “Todas” y “No leídas”</t>
  </si>
  <si>
    <t>Mostrar contadores por pestaña de notificaciones</t>
  </si>
  <si>
    <t>Los contadores muestran valores consistentes con el listado visible</t>
  </si>
  <si>
    <t>Mostrar tipos y descripciones de notificación</t>
  </si>
  <si>
    <t>Se muestran mensajes claros sobre el tipo y descripción de la alerta</t>
  </si>
  <si>
    <t>HU-01 Gestión de datos institucionales</t>
  </si>
  <si>
    <t>Diseñar la interfaz del perfil institucional</t>
  </si>
  <si>
    <t>N</t>
  </si>
  <si>
    <t>La interfaz muestra los datos institucionales y la sección de logo de forma clara</t>
  </si>
  <si>
    <t>Mostrar los datos actuales de la institución</t>
  </si>
  <si>
    <t xml:space="preserve">sirley </t>
  </si>
  <si>
    <t>Los campos muestran la información registrada en el sistema</t>
  </si>
  <si>
    <t>Implementar edición de datos institucionales</t>
  </si>
  <si>
    <t>Se permite modificar los datos institucionales definidos</t>
  </si>
  <si>
    <t>Validar campos obligatorios</t>
  </si>
  <si>
    <t>El sistema valida campos requeridos y formatos correctos</t>
  </si>
  <si>
    <t>Implementar carga del logo institucional</t>
  </si>
  <si>
    <t>Se permite subir un logo validando formato y tamaño</t>
  </si>
  <si>
    <t>Implementar eliminación o reemplazo del logo</t>
  </si>
  <si>
    <t>El logo puede eliminarse o reemplazarse correctamente</t>
  </si>
  <si>
    <t>Persistir cambios y mostrar mensajes de confirmación</t>
  </si>
  <si>
    <t>T-04, T-06</t>
  </si>
  <si>
    <t>Los cambios se guardan y se muestran mensajes de éxito o error</t>
  </si>
  <si>
    <t>HU-02 Cambio de contraseña del administrador</t>
  </si>
  <si>
    <t>Diseñar la opción de cambio de contraseña</t>
  </si>
  <si>
    <t>Ning</t>
  </si>
  <si>
    <t>Se muestra la opción de cambio de contraseña desde el perfil</t>
  </si>
  <si>
    <t>Solicitar y validar la contraseña actual</t>
  </si>
  <si>
    <t>El sistema valida que la contraseña actual sea correcta</t>
  </si>
  <si>
    <t>Validar reglas de seguridad de la nueva contraseña</t>
  </si>
  <si>
    <t>Se valida longitud, complejidad y confirmación</t>
  </si>
  <si>
    <t>Actualizar la contraseña del administrador</t>
  </si>
  <si>
    <t>La contraseña se actualiza de forma segura</t>
  </si>
  <si>
    <t>Mostrar mensajes de confirmación y error</t>
  </si>
  <si>
    <t>Se informa si el cambio fue exitoso o si ocurrió un error</t>
  </si>
  <si>
    <t>ES-406</t>
  </si>
  <si>
    <t>ES-405  Ejecución de pruebas manuales y unitarias</t>
  </si>
  <si>
    <t>Definir el plan de pruebas manuales</t>
  </si>
  <si>
    <t>Probar todo el aplicativo, prueba de todas las tareas (TODAS)</t>
  </si>
  <si>
    <t>Establecer los escenarios, casos de prueba y criterios de validación para el aplicativo web y móvil.</t>
  </si>
  <si>
    <t>ES-407</t>
  </si>
  <si>
    <t>ES-405 Ejecución de pruebas manuales y unitarias</t>
  </si>
  <si>
    <t>Ejecutar pruebas manuales del sistema</t>
  </si>
  <si>
    <t>Validar de forma manual cada módulo del aplicativo verificando su correcto funcionamiento.</t>
  </si>
  <si>
    <t>ES-408</t>
  </si>
  <si>
    <t>Implementar pruebas unitarias</t>
  </si>
  <si>
    <t>Desarrollar pruebas unitarias para los componentes y servicios críticos del sistema.</t>
  </si>
  <si>
    <t>ES-409</t>
  </si>
  <si>
    <t>Registrar y documentar errores encontrados</t>
  </si>
  <si>
    <t>Documentar incidencias detectadas durante las pruebas para su corrección.</t>
  </si>
  <si>
    <t>ES-410</t>
  </si>
  <si>
    <t>Verificar correcciones aplicadas</t>
  </si>
  <si>
    <t>Reejecutar pruebas para confirmar que los errores reportados fueron solucionados.</t>
  </si>
  <si>
    <t>ES-412</t>
  </si>
  <si>
    <t>Definir escenarios de pruebas automatizadas</t>
  </si>
  <si>
    <t>Ana</t>
  </si>
  <si>
    <t>Identificar los flujos críticos a automatizar dentro del aplicativo.</t>
  </si>
  <si>
    <t>ES-413</t>
  </si>
  <si>
    <t>Implementar pruebas automatizadas de autenticación</t>
  </si>
  <si>
    <t>Desarrollar pruebas automáticas para validar el acceso al sistema.</t>
  </si>
  <si>
    <t>ES-.414</t>
  </si>
  <si>
    <t>Automatizar validación de rutas protegidas</t>
  </si>
  <si>
    <t>Verificar que los usuarios no autorizados no puedan acceder a rutas restringidas.</t>
  </si>
  <si>
    <t>ES-415</t>
  </si>
  <si>
    <t>Automatizar flujo de gestión de estudiantes</t>
  </si>
  <si>
    <t>Implementar pruebas automatizadas para las acciones principales del módulo de estudiantes.</t>
  </si>
  <si>
    <t>ES-416</t>
  </si>
  <si>
    <t>Automatizar flujo de seguimiento académico</t>
  </si>
  <si>
    <t>Validar mediante automatización el funcionamiento del módulo de seguimiento académico.</t>
  </si>
  <si>
    <t>ES-417</t>
  </si>
  <si>
    <t>Automatizar módulo de notificaciones</t>
  </si>
  <si>
    <t>Comprobar que el envío y visualización de notificaciones funcionen correctamente.</t>
  </si>
  <si>
    <t>ES-.418</t>
  </si>
  <si>
    <t>Automatizar perfil de usuario</t>
  </si>
  <si>
    <t>Validar el correcto funcionamiento del perfil del usuario mediante pruebas automatizadas.</t>
  </si>
  <si>
    <t>EP-257</t>
  </si>
  <si>
    <t>HU-256 Entrenamiento de OpneIA por área y subtemas</t>
  </si>
  <si>
    <t>Crear interfaz de selección de área y subtemas</t>
  </si>
  <si>
    <t>4 DIAS</t>
  </si>
  <si>
    <t xml:space="preserve">Pinza </t>
  </si>
  <si>
    <t xml:space="preserve">alta </t>
  </si>
  <si>
    <t>Diseñar la pantalla donde el estudiante pueda elegir el área académica y los subtemas específicos que desea practicar.</t>
  </si>
  <si>
    <t xml:space="preserve">si </t>
  </si>
  <si>
    <t>EP-258</t>
  </si>
  <si>
    <t>Validar selección de área y subtemas</t>
  </si>
  <si>
    <t>Verificar que el estudiante haya seleccionado al menos un área y un subtema antes de realizar la petición al sistema.</t>
  </si>
  <si>
    <t>EP-259</t>
  </si>
  <si>
    <t>Enviar petición de entrenamiento al sistema</t>
  </si>
  <si>
    <t>Implementar la lógica para enviar al backend el área, los subtemas seleccionados y el estilo de aprendizaje del estudiante.</t>
  </si>
  <si>
    <t>EP-260</t>
  </si>
  <si>
    <t>Generar preguntas tipo ICFES con IA</t>
  </si>
  <si>
    <t>Procesar la solicitud utilizando inteligencia artificial para generar preguntas alineadas con los subtemas y el estilo de aprendizaje del estudiante.</t>
  </si>
  <si>
    <t>EP-261</t>
  </si>
  <si>
    <t>Mostrar preguntas adaptadas al estudiante</t>
  </si>
  <si>
    <t>Presentar las preguntas generadas de forma clara y ordenada para que el estudiante pueda iniciar la práctica</t>
  </si>
  <si>
    <t>EP-262</t>
  </si>
  <si>
    <t>Registrar interacción del estudiante</t>
  </si>
  <si>
    <t xml:space="preserve">sirley dias </t>
  </si>
  <si>
    <t>Guardar en el sistema la información del entrenamiento realizado para fines de seguimiento y mejora del aprendizaje.</t>
  </si>
  <si>
    <t xml:space="preserve">EP-102 </t>
  </si>
  <si>
    <t>HU-101 Inicio de sesión del estudiante</t>
  </si>
  <si>
    <t>Crear interfaz de inicio de sesión para estudiantes</t>
  </si>
  <si>
    <t xml:space="preserve">Sirley </t>
  </si>
  <si>
    <t>n</t>
  </si>
  <si>
    <t>Diseñar la pantalla móvil que permita al estudiante ingresar usuario y contraseña.</t>
  </si>
  <si>
    <t>EP-103</t>
  </si>
  <si>
    <t>EP-102</t>
  </si>
  <si>
    <t>Verificar que ambos campos estén diligenciados antes de permitir el envío de la información.</t>
  </si>
  <si>
    <t>EP-104</t>
  </si>
  <si>
    <t>Validar existencia del estudiante en el sistema</t>
  </si>
  <si>
    <t>Comprobar que el usuario ingresado esté registrado por la institución.</t>
  </si>
  <si>
    <t>EP-105</t>
  </si>
  <si>
    <t>Validar credenciales del estudiante</t>
  </si>
  <si>
    <t>Comparar el usuario y la contraseña ingresados con los datos almacenados en el sistema.</t>
  </si>
  <si>
    <t>EP-106</t>
  </si>
  <si>
    <t>Permitir acceso al aplicativo móvil</t>
  </si>
  <si>
    <t>Habilitar el ingreso del estudiante cuando las credenciales sean correctas.</t>
  </si>
  <si>
    <t>EP-107</t>
  </si>
  <si>
    <t>Mostrar mensajes de error por autenticación fallida</t>
  </si>
  <si>
    <t xml:space="preserve">Sets de errores si la auth falla </t>
  </si>
  <si>
    <t xml:space="preserve">EP-109 </t>
  </si>
  <si>
    <t>HU-108 Solicitud de recuperación de contraseña</t>
  </si>
  <si>
    <t>Diseñar la pantalla de solicitud de recuperación de acceso</t>
  </si>
  <si>
    <t>Crear la interfaz móvil donde el estudiante pueda ingresar su correo electrónico para solicitar la recuperación de contraseña.</t>
  </si>
  <si>
    <t>EP-110</t>
  </si>
  <si>
    <t>Validar el formato del correo electrónico ingresado</t>
  </si>
  <si>
    <t>EP-109</t>
  </si>
  <si>
    <t>Verificar que el correo tenga un formato válido antes de procesar la solicitud.</t>
  </si>
  <si>
    <t>EP-111</t>
  </si>
  <si>
    <t>Validar existencia del correo en el sistema</t>
  </si>
  <si>
    <t>Comprobar que el correo ingresado esté asociado a un estudiante registrado por la institución.</t>
  </si>
  <si>
    <t>EP-112</t>
  </si>
  <si>
    <t>Crear un código numérico único que será utilizado para validar la identidad del estudiante.</t>
  </si>
  <si>
    <t>EP-113</t>
  </si>
  <si>
    <t>Asignar vigencia al código de verificación</t>
  </si>
  <si>
    <t>Registrar el tiempo de validez del código con una duración máxima de 15 minutos.</t>
  </si>
  <si>
    <t xml:space="preserve">EP-115 </t>
  </si>
  <si>
    <t>Mostrar mensaje de confirmación de envío</t>
  </si>
  <si>
    <t>Informar al estudiante que el código fue enviado correctamente y que debe revisarlo para continuar.</t>
  </si>
  <si>
    <t xml:space="preserve">EP-114 </t>
  </si>
  <si>
    <t>Enviar código de verificación al correo del estudiante</t>
  </si>
  <si>
    <t>EP-114</t>
  </si>
  <si>
    <t>Enviar el código generado al correo electrónico registrado del estudiante.</t>
  </si>
  <si>
    <t xml:space="preserve">EP-117 </t>
  </si>
  <si>
    <t>HU-116 Validación de código y cambio de contraseña</t>
  </si>
  <si>
    <t>Diseñar la pantalla de validación de código</t>
  </si>
  <si>
    <t>EP-116</t>
  </si>
  <si>
    <t>Crear la interfaz donde el estudiante pueda ingresar el código de verificación recibido por correo.</t>
  </si>
  <si>
    <t>EP-118</t>
  </si>
  <si>
    <t>Validar longitud y formato del código ingresado</t>
  </si>
  <si>
    <t>EP-117</t>
  </si>
  <si>
    <t>Verificar que el código tenga exactamente 6 dígitos numéricos.</t>
  </si>
  <si>
    <t>EP-119</t>
  </si>
  <si>
    <t>Comprobar que el código ingresado coincida con el generado y que no haya superado los 15 minutos de validez.</t>
  </si>
  <si>
    <t>EP-120</t>
  </si>
  <si>
    <t>EP-120
1
Mostrar mensajes de error por código inválido o vencido</t>
  </si>
  <si>
    <t>Informar claramente al estudiante cuando el código es incorrecto o ya no está vigente.</t>
  </si>
  <si>
    <t>EP-121</t>
  </si>
  <si>
    <t>Permitir el ingreso de la nueva contraseña únicamente cuando el código sea válido.</t>
  </si>
  <si>
    <t>EP-122</t>
  </si>
  <si>
    <t>Validar longitud exacta de la nueva contraseña</t>
  </si>
  <si>
    <t>Verificar que la contraseña tenga exactamente 13 caracteres, aceptando letras, números y símbolos.</t>
  </si>
  <si>
    <t>EP-123</t>
  </si>
  <si>
    <t>Validar coincidencia de contraseña y confirmación</t>
  </si>
  <si>
    <t>Asegurar que ambos campos coincidan antes de permitir el cambio.</t>
  </si>
  <si>
    <t>EP-124</t>
  </si>
  <si>
    <t>Actualizar la contraseña del estudiante en el sistema</t>
  </si>
  <si>
    <t>Guardar la nueva contraseña de forma segura asociada a la cuenta del estudiante.</t>
  </si>
  <si>
    <t>EP-125</t>
  </si>
  <si>
    <t>EP-116 Validación de código y cambio de contraseña</t>
  </si>
  <si>
    <t>Mostrar confirmación de contraseña actualizada</t>
  </si>
  <si>
    <t>Informar al estudiante que la contraseña fue cambiada exitosamente.</t>
  </si>
  <si>
    <t>EP-126</t>
  </si>
  <si>
    <t>Enviar al estudiante a la pantalla de login para ingresar con la nueva contraseña.</t>
  </si>
  <si>
    <t xml:space="preserve">EP-128   </t>
  </si>
  <si>
    <t>EP-.127  Realización del Test de Kolb en el primer ingreso</t>
  </si>
  <si>
    <t>Mostrar automáticamente el Test de Kolb en el primer ingreso</t>
  </si>
  <si>
    <t>Lenny</t>
  </si>
  <si>
    <t>Implementar la lógica que detecta el primer inicio de sesión del estudiante y presenta el Test de David Kolb antes de permitir el acceso a otras funcionalidades del aplicativo.</t>
  </si>
  <si>
    <t xml:space="preserve">EP-129  </t>
  </si>
  <si>
    <t>EP-.127 Realización del Test de Kolb en el primer ingreso</t>
  </si>
  <si>
    <t>Diseñar la interfaz del Test de Kolb</t>
  </si>
  <si>
    <t>EP-128</t>
  </si>
  <si>
    <t>Crear la vista del test con navegación clara entre preguntas, mostrando el número de pregunta, el bloque correspondiente y las opciones de respuesta en escala de 1 a 4.</t>
  </si>
  <si>
    <t xml:space="preserve">EP-130   </t>
  </si>
  <si>
    <t>Configurar estructura del test por bloques y preguntas</t>
  </si>
  <si>
    <t>EP-129</t>
  </si>
  <si>
    <t>Definir la estructura de 4 bloques con 9 preguntas cada uno, asegurando que el total sea de 36 preguntas obligatorias.</t>
  </si>
  <si>
    <t xml:space="preserve">EP-131  </t>
  </si>
  <si>
    <t>Validar respuesta obligatoria por pregunta</t>
  </si>
  <si>
    <t>EP-130</t>
  </si>
  <si>
    <t>Implementar validaciones que impidan avanzar a la siguiente pregunta si la actual no ha sido respondida</t>
  </si>
  <si>
    <t xml:space="preserve">EP-132   </t>
  </si>
  <si>
    <t>Bloquear finalización del test con preguntas pendientes</t>
  </si>
  <si>
    <t>EP-131</t>
  </si>
  <si>
    <t>Asegurar que el estudiante no pueda finalizar el test si no ha respondido todas las preguntas requeridas.</t>
  </si>
  <si>
    <t xml:space="preserve">EP-133  </t>
  </si>
  <si>
    <t>Calcular el estilo de aprendizaje según las respuestas</t>
  </si>
  <si>
    <t>EP-132</t>
  </si>
  <si>
    <t>Implementar la lógica de cálculo que analiza las respuestas del estudiante y determina su estilo de aprendizaje según el modelo de David Kolb.</t>
  </si>
  <si>
    <t xml:space="preserve">EP-134  </t>
  </si>
  <si>
    <t>Guardar el resultado del test del estudiante</t>
  </si>
  <si>
    <t>EP-133</t>
  </si>
  <si>
    <t>Almacenar el estilo de aprendizaje determinado para que no se vuelva a presentar el test y se use en la personalización del sistema.</t>
  </si>
  <si>
    <t xml:space="preserve">TEP-135 </t>
  </si>
  <si>
    <t>Evitar que el test se vuelva a mostrar</t>
  </si>
  <si>
    <t>EP-134</t>
  </si>
  <si>
    <t>Validar que, si el estudiante ya realizó el test, este no se vuelva a presentar en futuros ingresos a la aplicación.</t>
  </si>
  <si>
    <t xml:space="preserve">EP.-136  </t>
  </si>
  <si>
    <t>Permitir continuar al aplicativo tras finalizar el test</t>
  </si>
  <si>
    <t>EP-135</t>
  </si>
  <si>
    <t>Redirigir al estudiante al flujo normal de la aplicación una vez completado correctamente el Test de Kolb.</t>
  </si>
  <si>
    <t xml:space="preserve">EP- 138  </t>
  </si>
  <si>
    <t>HU-137 Presentación y desarrollo del diagnóstico inicial</t>
  </si>
  <si>
    <t>Configurar la presentación automática del diagnóstico inicial</t>
  </si>
  <si>
    <t>EP-136</t>
  </si>
  <si>
    <t>Implementar la lógica para mostrar el diagnóstico al primer intento de interacción del estudiante con la aplicación.</t>
  </si>
  <si>
    <t xml:space="preserve">EP-139 </t>
  </si>
  <si>
    <t>Diseñar la estructura del cuestionario diagnóstico</t>
  </si>
  <si>
    <t>Crear la organización del diagnóstico en 5 bloques, cada uno con 5 preguntas, asegurando una navegación clara entre preguntas.</t>
  </si>
  <si>
    <t xml:space="preserve">EP-140  </t>
  </si>
  <si>
    <t>Implementar validación de preguntas obligatorias</t>
  </si>
  <si>
    <t>EP-138</t>
  </si>
  <si>
    <t>Evitar que el estudiante pueda finalizar el diagnóstico si no ha respondido todas las preguntas.</t>
  </si>
  <si>
    <t xml:space="preserve">EP- 141 </t>
  </si>
  <si>
    <t>Cargar preguntas dinámicas del diagnóstico</t>
  </si>
  <si>
    <t>EP-139</t>
  </si>
  <si>
    <t>Configurar el sistema para que las preguntas no sean siempre las mismas en cada intento o estudiante.</t>
  </si>
  <si>
    <t xml:space="preserve">EP- 142   </t>
  </si>
  <si>
    <t>Bloquear funcionalidades hasta completar el diagnóstico</t>
  </si>
  <si>
    <t>EP-140</t>
  </si>
  <si>
    <t>Restringir el acceso a las funcionalidades de la aplicación mientras el diagnóstico no haya sido completado.</t>
  </si>
  <si>
    <t xml:space="preserve">EP- 144   </t>
  </si>
  <si>
    <t>HU-143   Visualización de resultados y habilitación del acceso</t>
  </si>
  <si>
    <t>Calcular resultados del diagnóstico por área</t>
  </si>
  <si>
    <t>EP-142</t>
  </si>
  <si>
    <t>Implementar la lógica para evaluar las respuestas y calcular el porcentaje correspondiente a cada área.</t>
  </si>
  <si>
    <t xml:space="preserve">EP-. 145  </t>
  </si>
  <si>
    <t>HU-143 Visualización de resultados y habilitación del acceso</t>
  </si>
  <si>
    <t>Calcular el porcentaje global del diagnóstico</t>
  </si>
  <si>
    <t>EP-143</t>
  </si>
  <si>
    <t>Generar el resultado general a partir del desempeño del estudiante en todas las áreas evaluadas.</t>
  </si>
  <si>
    <t xml:space="preserve">EP- 146  </t>
  </si>
  <si>
    <t>Diseñar la pantalla de resultados del diagnóstico</t>
  </si>
  <si>
    <t>EP-144</t>
  </si>
  <si>
    <t>Crear la interfaz que muestre de forma clara los resultados por área y el porcentaje global.</t>
  </si>
  <si>
    <t xml:space="preserve">EP-. 147   </t>
  </si>
  <si>
    <t>Habilitar funcionalidades tras completar el diagnóstico</t>
  </si>
  <si>
    <t>EP-145</t>
  </si>
  <si>
    <t>Permitir el acceso total a la aplicación una vez el estudiante haya finalizado el diagnóstico correctamente.</t>
  </si>
  <si>
    <t xml:space="preserve">EP-148 </t>
  </si>
  <si>
    <t>Evitar que el diagnóstico se repita</t>
  </si>
  <si>
    <t>Guardar el estado del diagnóstico para impedir que se vuelva a mostrar en futuros ingresos.</t>
  </si>
  <si>
    <t>EP-150</t>
  </si>
  <si>
    <t>HU-149 Progreso por áreas académicas en el mapa de islas</t>
  </si>
  <si>
    <t>Diseñar el mapa visual de islas por áreas académicas</t>
  </si>
  <si>
    <t>Crear la interfaz del mapa que muestre claramente las islas de cada área, diferenciando visualmente las que están disponibles, bloqueadas o completadas.</t>
  </si>
  <si>
    <t>EP-151</t>
  </si>
  <si>
    <t>Configurar estados de niveles bloqueados y desbloqueados</t>
  </si>
  <si>
    <t>Implementar la lógica que permita habilitar únicamente el primer nivel al inicio y cambiar el estado de los niveles según el progreso del estudiante.</t>
  </si>
  <si>
    <t>EP-152</t>
  </si>
  <si>
    <t>Implementar sistema de preguntas dinámicas por nivel</t>
  </si>
  <si>
    <t>Cargar preguntas variables para cada nivel, asegurando que no siempre sean las mismas en cada intento.</t>
  </si>
  <si>
    <t>EP-153</t>
  </si>
  <si>
    <t>Controlar avance de nivel por número de aciertos</t>
  </si>
  <si>
    <t>Validar que el estudiante solo avance al siguiente nivel cuando obtenga al menos 4 respuestas correctas.</t>
  </si>
  <si>
    <t>EP-154</t>
  </si>
  <si>
    <t>Gestionar sistema de vidas desde el nivel 2</t>
  </si>
  <si>
    <t>Implementar el control de 3 vidas por nivel y el retroceso automático al nivel anterior cuando estas se agoten.</t>
  </si>
  <si>
    <t>EP-155</t>
  </si>
  <si>
    <t>Habilitar examen final del área</t>
  </si>
  <si>
    <t>Activar el examen final únicamente cuando el estudiante haya completado los 5 niveles del área correspondiente.</t>
  </si>
  <si>
    <t>EP-156</t>
  </si>
  <si>
    <t>Mostrar resultados académicos al finalizar actividades</t>
  </si>
  <si>
    <t>Presentar de forma clara los resultados por área y el porcentaje global al finalizar un nivel o examen.</t>
  </si>
  <si>
    <t>EP-158</t>
  </si>
  <si>
    <t>HU-157 Prueba de Conocimiento en modalidad fácil y difícil</t>
  </si>
  <si>
    <t>Diseñar la interfaz de selección de modalidad de la Prueba de Conocimiento</t>
  </si>
  <si>
    <t>Crear la pantalla que permita al estudiante elegir claramente entre modalidad fácil y difícil antes de iniciar la prueba.</t>
  </si>
  <si>
    <t>EP-159</t>
  </si>
  <si>
    <t>Implementar banco de preguntas dinámicas para la prueba</t>
  </si>
  <si>
    <t>Configurar el sistema para cargar preguntas variables en ambas modalidades, evitando repeticiones constantes.</t>
  </si>
  <si>
    <t>EP-160</t>
  </si>
  <si>
    <t>Configurar modalidad fácil sin límite de tiempo</t>
  </si>
  <si>
    <t>Permitir que el estudiante responda las preguntas a su propio ritmo y calcular el tiempo total al finalizar la prueba.</t>
  </si>
  <si>
    <t>EP-161</t>
  </si>
  <si>
    <t>Configurar modalidad difícil con temporizador por pregunta</t>
  </si>
  <si>
    <t>Implementar un temporizador de 1 minuto por pregunta y avanzar automáticamente si el tiempo se agota.</t>
  </si>
  <si>
    <t>EP-162</t>
  </si>
  <si>
    <t>Gestionar avance automático de preguntas</t>
  </si>
  <si>
    <t>Controlar el paso automático a la siguiente pregunta cuando el estudiante responde o cuando se termina el tiempo.</t>
  </si>
  <si>
    <t>EP-163</t>
  </si>
  <si>
    <t>Calcular resultados por área y porcentaje global</t>
  </si>
  <si>
    <t xml:space="preserve">Lenny </t>
  </si>
  <si>
    <t>Procesar las respuestas para obtener los resultados finales y mostrarlos de forma clara al finalizar la prueba.</t>
  </si>
  <si>
    <t xml:space="preserve">EP-165 </t>
  </si>
  <si>
    <t>HU-164 Resolución de preguntas dinámicas generadas por IA</t>
  </si>
  <si>
    <t>Generar preguntas dinámicas por nivel usando IA</t>
  </si>
  <si>
    <t>Implementar la lógica que permita generar exactamente cinco preguntas nuevas cada vez que el estudiante ingresa a un nivel, utilizando inteligencia artificial y evitando la repetición de preguntas anteriores.</t>
  </si>
  <si>
    <t>EP-166</t>
  </si>
  <si>
    <t>Adaptar las preguntas al subtema del nivel</t>
  </si>
  <si>
    <t>Asegurar que las preguntas generadas estén directamente relacionadas con el subtema académico correspondiente al nivel seleccionado por el estudiante.</t>
  </si>
  <si>
    <t>EP-167</t>
  </si>
  <si>
    <t>Personalizar las preguntas según el estilo de aprendizaje</t>
  </si>
  <si>
    <t>Ajustar la forma y enfoque de las preguntas generadas por la IA teniendo en cuenta el estilo de aprendizaje del estudiante identificado mediante el Test de Kolb.</t>
  </si>
  <si>
    <t>EP-168</t>
  </si>
  <si>
    <t>Reemplazar preguntas en cada nuevo intento</t>
  </si>
  <si>
    <t>Garantizar que, al volver a practicar un nivel, las preguntas generadas sean diferentes a las mostradas anteriormente.</t>
  </si>
  <si>
    <t>EP-169</t>
  </si>
  <si>
    <t>Configurar uso del banco de preguntas para Isla de Conocimiento y examen final</t>
  </si>
  <si>
    <t>Implementar el consumo exclusivo del banco de preguntas para las evaluaciones de la Isla de Conocimiento y los exámenes finales, evitando el uso de IA en estos casos.</t>
  </si>
  <si>
    <t>EP-171</t>
  </si>
  <si>
    <t>HU- 170 Evaluación inmediata y recomendaciones</t>
  </si>
  <si>
    <t>Evaluar cada respuesta en tiempo real</t>
  </si>
  <si>
    <t>Implementar la validación inmediata de cada respuesta seleccionada por el estudiante, determinando si es correcta o incorrecta.</t>
  </si>
  <si>
    <t>EP-172</t>
  </si>
  <si>
    <t>Mostrar retroalimentación visual de la respuesta</t>
  </si>
  <si>
    <t>Presentar claramente la opción seleccionada por el estudiante junto con la opción correcta para facilitar la comprensión del error o acierto.</t>
  </si>
  <si>
    <t>EP-173</t>
  </si>
  <si>
    <t>Analizar el desempeño del estudiante mediante IA</t>
  </si>
  <si>
    <t>Procesar las respuestas del estudiante utilizando inteligencia artificial para identificar patrones de error y fortalezas por subtema.</t>
  </si>
  <si>
    <t>EP-174</t>
  </si>
  <si>
    <t>Generar recomendaciones por subtema</t>
  </si>
  <si>
    <t>Crear recomendaciones académicas específicas basadas en el desempeño del estudiante, orientadas a reforzar los contenidos donde presenta mayor dificultad.</t>
  </si>
  <si>
    <t>EP-176</t>
  </si>
  <si>
    <t>Guardar resultados en el historial académico</t>
  </si>
  <si>
    <t>Almacenar permanentemente las respuestas, resultados y recomendaciones del estudiante para su posterior seguimiento y análisis.</t>
  </si>
  <si>
    <t>EP-175</t>
  </si>
  <si>
    <t>Actualizar recomendaciones en cada práctica</t>
  </si>
  <si>
    <t>Reemplazar las recomendaciones anteriores cada vez que el estudiante vuelve a practicar un nivel, asegurando sugerencias actualizadas.</t>
  </si>
  <si>
    <t>EP-178</t>
  </si>
  <si>
    <t>EP-177  Visualización del resumen de progreso</t>
  </si>
  <si>
    <t>Diseñar la vista de resumen de progreso</t>
  </si>
  <si>
    <t>Crear la interfaz que muestre el gráfico de progreso global y las tarjetas por área, garantizando una visualización clara y entendible para el estudiante.</t>
  </si>
  <si>
    <t>EP-179</t>
  </si>
  <si>
    <t>Calcular el progreso global del estudiante</t>
  </si>
  <si>
    <t>Obtener y procesar la información de todas las áreas practicadas para generar el porcentaje global de avance.</t>
  </si>
  <si>
    <t>EP-100</t>
  </si>
  <si>
    <t>Calcular y mostrar el progreso por área</t>
  </si>
  <si>
    <t>Determinar el porcentaje de avance de cada área y reflejarlo correctamente en las tarjetas correspondientes.</t>
  </si>
  <si>
    <t>EP-101</t>
  </si>
  <si>
    <t>Mostrar el nivel actual del estudiante por área</t>
  </si>
  <si>
    <t>Identificar el nivel en el que se encuentra el estudiante y presentarlo visualmente dentro del resumen.</t>
  </si>
  <si>
    <t>EP-183</t>
  </si>
  <si>
    <t>EP-182  Comparación entre diagnóstico inicial y progreso actual</t>
  </si>
  <si>
    <t>Obtener resultados del diagnóstico inicial</t>
  </si>
  <si>
    <t>Recuperar los resultados almacenados del diagnóstico inicial por cada área académica.</t>
  </si>
  <si>
    <t>EP-184</t>
  </si>
  <si>
    <t>Obtener resultados actuales del progreso</t>
  </si>
  <si>
    <t>EP183</t>
  </si>
  <si>
    <t>Calcular el desempeño actual del estudiante con base en sus prácticas y simulacros realizados.</t>
  </si>
  <si>
    <t>EP-185</t>
  </si>
  <si>
    <t xml:space="preserve">Diseñar vista comparativa por área </t>
  </si>
  <si>
    <t>EP.-183</t>
  </si>
  <si>
    <t>Construir una interfaz que permita comparar visualmente el resultado inicial frente al resultado actual.</t>
  </si>
  <si>
    <t>EP-186</t>
  </si>
  <si>
    <t>Indicar variación del desempeño</t>
  </si>
  <si>
    <t>Mostrar si el estudiante ha mejorado, empeorado o se ha mantenido igual en cada área.</t>
  </si>
  <si>
    <t>EP-188</t>
  </si>
  <si>
    <t>EP-187  Consulta del historial y detalle de prácticas</t>
  </si>
  <si>
    <t>Diseñar la vista de historial de prácticas</t>
  </si>
  <si>
    <t>EP-.186</t>
  </si>
  <si>
    <t>Crear la interfaz que liste todas las prácticas y simulacros realizados, mostrando área, nivel y fecha.</t>
  </si>
  <si>
    <t>EP-189</t>
  </si>
  <si>
    <t>Implementar filtros del historial</t>
  </si>
  <si>
    <t>Permitir filtrar el historial por área específica o visualizar todas las áreas.</t>
  </si>
  <si>
    <t>EP-190</t>
  </si>
  <si>
    <t>Mostrar detalle del historial seleccionado</t>
  </si>
  <si>
    <t>EP-.189</t>
  </si>
  <si>
    <t>Al seleccionar un registro, mostrar una vista detallada con la información completa del intento.</t>
  </si>
  <si>
    <t>EP-191</t>
  </si>
  <si>
    <t>Mostrar resumen del intento</t>
  </si>
  <si>
    <t>Indicar si el estudiante subió, bajó o se mantuvo en el nivel, junto con preguntas respondidas, correctas, incorrectas y tiempo empleado.</t>
  </si>
  <si>
    <t>EP-192</t>
  </si>
  <si>
    <t>Mostrar detalle de preguntas</t>
  </si>
  <si>
    <t>Listar todas las preguntas del intento, resaltando respuestas correctas en verde e incorrectas en rojo, mostrando la opción marcada y la correcta.</t>
  </si>
  <si>
    <t>EP-193</t>
  </si>
  <si>
    <t>Mostrar análisis del desempeño</t>
  </si>
  <si>
    <t>Presentar un análisis del intento que permita al estudiante comprender su rendimiento por área y nivel.</t>
  </si>
  <si>
    <t>EP-195</t>
  </si>
  <si>
    <t>EP-194  Visualización del ranking de estudiantes</t>
  </si>
  <si>
    <t>Diseñar la interfaz de la pestaña Ranking</t>
  </si>
  <si>
    <t>Crear la pantalla donde el estudiante pueda acceder al ranking, incluyendo la posición personal, el listado general y el Top 5 de estudiantes destacados.</t>
  </si>
  <si>
    <t>EP-196</t>
  </si>
  <si>
    <t>Calcular el puntaje total del estudiante</t>
  </si>
  <si>
    <t>Implementar la lógica que permita sumar y actualizar el puntaje del estudiante con base en su desempeño dentro del aplicativo.</t>
  </si>
  <si>
    <t>EP-197</t>
  </si>
  <si>
    <t>Ordenar estudiantes por puntaje descendente</t>
  </si>
  <si>
    <t>Generar el ranking general comparando los puntajes de todos los estudiantes registrados en el sistema.</t>
  </si>
  <si>
    <t>EP-198</t>
  </si>
  <si>
    <t>Determinar la posición actual del estudiante</t>
  </si>
  <si>
    <t>Calcular automáticamente el lugar que ocupa el estudiante dentro del ranking general.</t>
  </si>
  <si>
    <t>EP-199</t>
  </si>
  <si>
    <t>Mostrar el Top 5 de estudiantes</t>
  </si>
  <si>
    <t>Visualizar los cinco estudiantes con mayor puntaje, mostrando su nombre y puntaje correspondiente.</t>
  </si>
  <si>
    <t>EP-.200</t>
  </si>
  <si>
    <t>Actualizar el ranking dinámicamente</t>
  </si>
  <si>
    <t>Asegurar que el ranking se actualice cuando el estudiante mejore su puntaje o avance en el aplicativo</t>
  </si>
  <si>
    <t>EP-202</t>
  </si>
  <si>
    <t>EP-201  Visualización de logros e insignias</t>
  </si>
  <si>
    <t>Diseñar la interfaz de la pestaña Logros</t>
  </si>
  <si>
    <t>EP-200</t>
  </si>
  <si>
    <t xml:space="preserve">
Crear la pantalla donde se muestren todas las insignias por área, diferenciando visualmente las bloqueadas y las desbloqueadas.</t>
  </si>
  <si>
    <t>EP-.203</t>
  </si>
  <si>
    <t>Definir condiciones para desbloquear insignias</t>
  </si>
  <si>
    <t>EP-201</t>
  </si>
  <si>
    <t>Implementar las reglas que validan si el estudiante completó los 5 niveles y presentó el examen final del área correspondiente.</t>
  </si>
  <si>
    <t>EP-.204</t>
  </si>
  <si>
    <t>Validar progreso del estudiante por área</t>
  </si>
  <si>
    <t>EP-202, EP-.203</t>
  </si>
  <si>
    <t>Consultar el avance del estudiante en cada área para determinar el estado de sus insignias.</t>
  </si>
  <si>
    <t>EP-205</t>
  </si>
  <si>
    <t>Actualizar estado visual de las insignias</t>
  </si>
  <si>
    <t>EP-204, EP-205</t>
  </si>
  <si>
    <t>Cambiar automáticamente la apariencia de la insignia cuando se cumplan las condiciones de desbloqueo.</t>
  </si>
  <si>
    <t>EP-206</t>
  </si>
  <si>
    <t>Mantener insignias bloqueadas si no se cumplen condiciones</t>
  </si>
  <si>
    <t>Asegurar que las insignias permanezcan en estado bloqueado cuando el estudiante no haya completado los requisitos.</t>
  </si>
  <si>
    <t>EP-208</t>
  </si>
  <si>
    <t>EP-207  Creación y envío de reto 1 vs 1</t>
  </si>
  <si>
    <t>Mostrar listado de oponentes disponibles en línea</t>
  </si>
  <si>
    <t>Visualizar el listado de estudiantes conectados, diferenciando claramente cuáles están disponibles y cuáles se encuentran participando en otro reto mediante estados visuales (habilitado o deshabilitado).</t>
  </si>
  <si>
    <t>EP-209</t>
  </si>
  <si>
    <t>Permitir selección de área para el reto</t>
  </si>
  <si>
    <t>EP-.208</t>
  </si>
  <si>
    <t>Implementar la funcionalidad que permita al estudiante elegir el área académica en la que desea competir antes de enviar el reto</t>
  </si>
  <si>
    <t>EP-210</t>
  </si>
  <si>
    <t>Bloquear selección de oponentes no disponibles</t>
  </si>
  <si>
    <t>lenny</t>
  </si>
  <si>
    <t>EP209</t>
  </si>
  <si>
    <t>Deshabilitar visualmente y funcionalmente a los estudiantes que estén realizando otro reto para evitar selecciones inválidas.</t>
  </si>
  <si>
    <t>EP-211</t>
  </si>
  <si>
    <t>Enviar reto al oponente seleccionado</t>
  </si>
  <si>
    <t>Registrar el envío del reto, asociando el área seleccionada, el creador del reto y el oponente elegido.</t>
  </si>
  <si>
    <t>EP-.212</t>
  </si>
  <si>
    <t>Gestionar estado pendiente del reto</t>
  </si>
  <si>
    <t>Mantener al creador del reto en una sala de espera mientras el oponente acepta o rechaza el duelo.</t>
  </si>
  <si>
    <t>EP-213</t>
  </si>
  <si>
    <t>Actualizar estado del reto según respuesta del oponente</t>
  </si>
  <si>
    <t>EP-212</t>
  </si>
  <si>
    <t>Cambiar el estado del reto a “aceptado” o “rechazado” según la acción realizada por el oponente.</t>
  </si>
  <si>
    <t>EP- 215</t>
  </si>
  <si>
    <t>EP- 214   Participación y finalización del reto 1 vs 1</t>
  </si>
  <si>
    <t>Crear sala de reto para ambos jugadores</t>
  </si>
  <si>
    <t>Habilitar una sala compartida donde ambos estudiantes ingresan una vez el reto es aceptado.</t>
  </si>
  <si>
    <t>EP-216</t>
  </si>
  <si>
    <t>EP- 214 Participación y finalización del reto 1 vs 1</t>
  </si>
  <si>
    <t>Generar las 5 preguntas dinámicas del reto</t>
  </si>
  <si>
    <t>EP-215</t>
  </si>
  <si>
    <t>Generar automáticamente el conjunto de preguntas que serán utilizadas durante el duelo competitivo</t>
  </si>
  <si>
    <t>EP-217</t>
  </si>
  <si>
    <t>Registrar respuestas y tiempo de cada estudiante</t>
  </si>
  <si>
    <t>Almacenar de forma precisa las respuestas seleccionadas y el tiempo total empleado por cada jugador durante el reto.</t>
  </si>
  <si>
    <t>EP-218</t>
  </si>
  <si>
    <t>Calcular ganador del reto</t>
  </si>
  <si>
    <t>Evaluar los resultados del duelo, determinando el ganador según la cantidad de respuestas correctas y aplicando el criterio de desempate por tiempo.</t>
  </si>
  <si>
    <t>EP-219</t>
  </si>
  <si>
    <t>Registrar resultado final del enfrentamiento</t>
  </si>
  <si>
    <t>Guardar en el sistema el resultado del reto para ambos estudiantes, incluyendo puntaje y estado (ganador o perdedor).</t>
  </si>
  <si>
    <t>EP-220</t>
  </si>
  <si>
    <t>Mostrar resultado del reto a los participantes</t>
  </si>
  <si>
    <t>Presentar una pantalla final donde ambos estudiantes visualicen el resultado del duelo y su desempeño.</t>
  </si>
  <si>
    <t>EP-222</t>
  </si>
  <si>
    <t>EP 221   Uso de actividades mentales en RA</t>
  </si>
  <si>
    <t>Diseñar el carrusel de áreas académicas</t>
  </si>
  <si>
    <t>Crear la interfaz visual que permita al estudiante navegar entre las áreas (Lectura Crítica, Matemáticas, Sociales y Ciudadanas, Ciencias Naturales e Inglés) y seleccionar una para iniciar la actividad mental.</t>
  </si>
  <si>
    <t>EP-223</t>
  </si>
  <si>
    <t>EP 221 Uso de actividades mentales en RA</t>
  </si>
  <si>
    <t>Implementar la selección de experiencias RA</t>
  </si>
  <si>
    <t>Carlos</t>
  </si>
  <si>
    <t>EP-221</t>
  </si>
  <si>
    <t>Desarrollar la funcionalidad que permita al estudiante elegir entre las experiencias disponibles (Doty o Bailarina) según el área seleccionada.</t>
  </si>
  <si>
    <t>EP.224</t>
  </si>
  <si>
    <t>Validar permisos de cámara del dispositivo</t>
  </si>
  <si>
    <t>Comprobar si el usuario ha otorgado permiso de acceso a la cámara antes de iniciar cualquier experiencia de Realidad Aumentada.</t>
  </si>
  <si>
    <t>EP-  225</t>
  </si>
  <si>
    <t>Mostrar mensaje de error por falta de permisos</t>
  </si>
  <si>
    <t>Informar claramente al estudiante que la experiencia no puede iniciar si no se conceden los permisos de cámara necesarios.</t>
  </si>
  <si>
    <t>EP-226</t>
  </si>
  <si>
    <t>Integrar videos informativos por área</t>
  </si>
  <si>
    <t>EP-224</t>
  </si>
  <si>
    <t>Implementar la reproducción de videos informativos asociados a cada área antes o durante la actividad de Realidad Aumentada.</t>
  </si>
  <si>
    <t>EP-227</t>
  </si>
  <si>
    <t>Desarrollar experiencia RA Doty</t>
  </si>
  <si>
    <t>EP-225</t>
  </si>
  <si>
    <t>Implementar la lógica de interacción de la experiencia Doty, permitiendo el movimiento del personaje y la recolección de monedas dentro del entorno de Realidad Aumentada.</t>
  </si>
  <si>
    <t>EP-228</t>
  </si>
  <si>
    <t>Desarrollar experiencia RA Bailarina</t>
  </si>
  <si>
    <t>Implementar la experiencia Bailarina, permitiendo cambios de animación, movimientos y tamaño del personaje en el entorno de Realidad Aumentada.</t>
  </si>
  <si>
    <t>EP-229</t>
  </si>
  <si>
    <t>Validar compatibilidad del dispositivo</t>
  </si>
  <si>
    <t>Verificar que el dispositivo del estudiante cumpla con los requisitos mínimos para ejecutar correctamente las experiencias de Realidad Aumentada.</t>
  </si>
  <si>
    <t>EP-230</t>
  </si>
  <si>
    <t>Probar la interacción completa de RA</t>
  </si>
  <si>
    <t>Realizar pruebas funcionales para garantizar que las experiencias RA respondan correctamente a los movimientos, acciones y gestos del estudiante.</t>
  </si>
  <si>
    <t>EP-233</t>
  </si>
  <si>
    <t>EP-232  Visualización y actualización del perfil del estudiante</t>
  </si>
  <si>
    <t>Construir la vista del perfil del estudiante</t>
  </si>
  <si>
    <t>EP-234</t>
  </si>
  <si>
    <t>Mostrar información personal y académica del estudiante</t>
  </si>
  <si>
    <t>EP-233, EP.234</t>
  </si>
  <si>
    <t>Cargar y visualizar datos como institución, grado, tipo de documento, correo, jornada, teléfono, dirección y fecha asociada al perfil del estudiante.</t>
  </si>
  <si>
    <t>EP-235</t>
  </si>
  <si>
    <t xml:space="preserve">Mostrar ícono de foto </t>
  </si>
  <si>
    <t>Implementar un ícono genérico que se muestre automáticamente cuando el estudiante no tenga una foto de perfil registrada.</t>
  </si>
  <si>
    <t>EP-236</t>
  </si>
  <si>
    <t>Permitir seleccionar y previsualizar foto de perfil</t>
  </si>
  <si>
    <t>Habilitar la opción para que el estudiante seleccione una imagen desde su dispositivo, mostrando una previsualización antes de guardarla.</t>
  </si>
  <si>
    <t>EP-237</t>
  </si>
  <si>
    <t>Guardar foto de perfil del estudiante</t>
  </si>
  <si>
    <t>Al confirmar la selección, almacenar la imagen como foto de perfil y mostrarla correctamente en la vista del perfil.</t>
  </si>
  <si>
    <t>EP-238</t>
  </si>
  <si>
    <t>Eliminar foto de perfil y restaurar ícono por defecto</t>
  </si>
  <si>
    <t>Permitir al estudiante eliminar su foto actual y volver a mostrar el ícono de perfil por defecto.</t>
  </si>
  <si>
    <t>EP-239</t>
  </si>
  <si>
    <t>Habilitar edición de campos permitidos</t>
  </si>
  <si>
    <t>Permitir la edición únicamente de los campos correo electrónico, teléfono y dirección, manteniendo los demás campos solo en modo visualización.</t>
  </si>
  <si>
    <t>EP-240</t>
  </si>
  <si>
    <t>Validar campos editables antes de guardar cambios</t>
  </si>
  <si>
    <t>Verificar que todos los campos editables estén diligenciados correctamente y que no existan datos inválidos antes de permitir la actualización.</t>
  </si>
  <si>
    <t>EP-241</t>
  </si>
  <si>
    <t>Guardar actualización de datos del perfil</t>
  </si>
  <si>
    <t>Al cumplir las validaciones, almacenar los nuevos datos del perfil del estudiante y reflejar los cambios inmediatamente en la vista.</t>
  </si>
  <si>
    <t>EP-242</t>
  </si>
  <si>
    <t>Mostrar estilo de aprendizaje del estudiante</t>
  </si>
  <si>
    <t>Visualizar el estilo de aprendizaje obtenido a partir del Test de Kolb, incluyendo características y recomendaciones asociadas.</t>
  </si>
  <si>
    <t>EP-245</t>
  </si>
  <si>
    <t>EP-244   Cambio de contraseña del estudiante</t>
  </si>
  <si>
    <t>Crear interfaz de cambio de contraseña</t>
  </si>
  <si>
    <t>EP-243</t>
  </si>
  <si>
    <t>Diseñar la pantalla de configuración donde el estudiante pueda ingresar su contraseña actual, la nueva contraseña y la confirmación, asegurando una experiencia clara y fácil de usar.</t>
  </si>
  <si>
    <t>EP-246</t>
  </si>
  <si>
    <t xml:space="preserve">Validar contraseña actual del estudiante </t>
  </si>
  <si>
    <t>EP-244</t>
  </si>
  <si>
    <t>Implementar la lógica que compare la contraseña actual ingresada con la almacenada en el sistema, evitando el cambio si no coincide.</t>
  </si>
  <si>
    <t>EP-247</t>
  </si>
  <si>
    <t>Validar formato y longitud de la nueva contraseña</t>
  </si>
  <si>
    <t>Verificar que la nueva contraseña tenga exactamente 13 caracteres y permita el uso de letras, números y símbolos según lo establecido.</t>
  </si>
  <si>
    <t>EP-248</t>
  </si>
  <si>
    <t>Validar coincidencia de nueva contraseña y confirmación</t>
  </si>
  <si>
    <t>Comprobar que ambos campos coincidan antes de permitir la actualización de la contraseña.</t>
  </si>
  <si>
    <t>EP-249</t>
  </si>
  <si>
    <t>Guardar de forma segura la nueva contraseña del estudiante cuando todas las validaciones se cumplan correctamente.</t>
  </si>
  <si>
    <t>EP-250</t>
  </si>
  <si>
    <t>Mostrar mensajes de error y confirmación</t>
  </si>
  <si>
    <t>Informar claramente al estudiante cuando ocurra un error en el proceso o cuando el cambio de contraseña se haya realizado con éxito.</t>
  </si>
  <si>
    <t>EP-252</t>
  </si>
  <si>
    <t>EP-251   Cierre de sesión del estudiante</t>
  </si>
  <si>
    <t>Agregar opción de cerrar sesión en configuración</t>
  </si>
  <si>
    <t>Incluir en la pantalla de configuración un botón claramente visible que permita al estudiante cerrar sesión de manera manual.</t>
  </si>
  <si>
    <t>EP-253</t>
  </si>
  <si>
    <t>Finalizar sesión activa del estudiante</t>
  </si>
  <si>
    <t>Implementar la lógica necesaria para eliminar tokens, sesiones o datos temporales asociados a la sesión activa.</t>
  </si>
  <si>
    <t>EP-254</t>
  </si>
  <si>
    <t>Redirigir a la pantalla de inicio de sesión</t>
  </si>
  <si>
    <t>EP-251</t>
  </si>
  <si>
    <t>Enviar automáticamente al estudiante a la pantalla de login una vez se haya cerrado la sesión correctamente</t>
  </si>
  <si>
    <t>EP-255</t>
  </si>
  <si>
    <t>Bloquear acceso sin sesión activa</t>
  </si>
  <si>
    <t>Asegurar que, tras cerrar sesión, el estudiante no pueda acceder a ninguna funcionalidad del aplicativo sin volver a autenticarse.</t>
  </si>
  <si>
    <t>Inicio</t>
  </si>
  <si>
    <t>Días</t>
  </si>
  <si>
    <t>Final</t>
  </si>
  <si>
    <t>Fecha Liberación</t>
  </si>
  <si>
    <t>Meta</t>
  </si>
  <si>
    <t>1 web</t>
  </si>
  <si>
    <t>Planeado</t>
  </si>
  <si>
    <t xml:space="preserve">Se cumplio con la meta de este Sprint </t>
  </si>
  <si>
    <t>2  web</t>
  </si>
  <si>
    <t>Se cumplio con la meta de este Sprint</t>
  </si>
  <si>
    <t>3 wed</t>
  </si>
  <si>
    <t xml:space="preserve">1 movil </t>
  </si>
  <si>
    <t>2 movil</t>
  </si>
  <si>
    <t>3 movil</t>
  </si>
  <si>
    <t>4 movil</t>
  </si>
  <si>
    <t>Historias sin Asignar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</si>
</sst>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52">
    <font>
      <sz val="10"/>
      <name val="Arial"/>
    </font>
    <font>
      <sz val="11"/>
      <color theme="1"/>
      <name val="Calibri"/>
      <family val="2"/>
      <scheme val="minor"/>
    </font>
    <font>
      <b/>
      <sz val="10"/>
      <name val="Arial"/>
      <family val="2"/>
    </font>
    <font>
      <sz val="8"/>
      <name val="Arial"/>
      <family val="2"/>
    </font>
    <font>
      <sz val="14"/>
      <name val="Arial"/>
      <family val="2"/>
    </font>
    <font>
      <sz val="8"/>
      <color indexed="81"/>
      <name val="Tahoma"/>
      <family val="2"/>
    </font>
    <font>
      <b/>
      <sz val="8"/>
      <color indexed="81"/>
      <name val="Tahoma"/>
      <family val="2"/>
    </font>
    <font>
      <sz val="10"/>
      <name val="Arial"/>
      <family val="2"/>
    </font>
    <font>
      <sz val="9"/>
      <color indexed="81"/>
      <name val="Tahoma"/>
      <family val="2"/>
    </font>
    <font>
      <strike/>
      <sz val="10"/>
      <name val="Arial"/>
      <family val="2"/>
    </font>
    <font>
      <b/>
      <sz val="14"/>
      <name val="Arial"/>
      <family val="2"/>
    </font>
    <font>
      <sz val="8"/>
      <color rgb="FF000000"/>
      <name val="Arial"/>
      <family val="2"/>
    </font>
    <font>
      <sz val="11"/>
      <color rgb="FF000000"/>
      <name val="Calibri"/>
      <family val="2"/>
    </font>
    <font>
      <sz val="12"/>
      <color rgb="FF000000"/>
      <name val="Arial"/>
      <family val="2"/>
    </font>
    <font>
      <sz val="11"/>
      <color rgb="FF000000"/>
      <name val="Arial"/>
      <family val="2"/>
    </font>
    <font>
      <b/>
      <sz val="11"/>
      <color rgb="FF000000"/>
      <name val="Arial"/>
      <family val="2"/>
    </font>
    <font>
      <sz val="11"/>
      <color theme="1"/>
      <name val="Arial"/>
      <family val="2"/>
    </font>
    <font>
      <sz val="11"/>
      <color rgb="FF161616"/>
      <name val="Arial"/>
      <family val="2"/>
    </font>
    <font>
      <sz val="11"/>
      <color theme="1"/>
      <name val="Calibri"/>
      <family val="2"/>
    </font>
    <font>
      <sz val="11"/>
      <color rgb="FF000000"/>
      <name val="Roboto"/>
    </font>
    <font>
      <sz val="11"/>
      <color rgb="FF202124"/>
      <name val="Arial"/>
      <family val="2"/>
    </font>
    <font>
      <b/>
      <sz val="12"/>
      <name val="Arial"/>
      <family val="2"/>
    </font>
    <font>
      <sz val="12"/>
      <name val="Arial"/>
      <family val="2"/>
    </font>
    <font>
      <b/>
      <sz val="16"/>
      <name val="Arial"/>
      <family val="2"/>
    </font>
    <font>
      <b/>
      <sz val="18"/>
      <name val="Arial"/>
      <family val="2"/>
    </font>
    <font>
      <sz val="12"/>
      <name val="Arial"/>
    </font>
    <font>
      <sz val="12"/>
      <color rgb="FF000000"/>
      <name val="Arial"/>
    </font>
    <font>
      <b/>
      <sz val="12"/>
      <color rgb="FF292A2E"/>
      <name val="Atlassian Sans"/>
    </font>
    <font>
      <b/>
      <sz val="12"/>
      <color rgb="FF292A2E"/>
      <name val="Atlassian Sans"/>
      <charset val="1"/>
    </font>
    <font>
      <sz val="12"/>
      <color rgb="FF292A2E"/>
      <name val="Atlassian Sans"/>
      <charset val="1"/>
    </font>
    <font>
      <b/>
      <sz val="12"/>
      <color rgb="FF000000"/>
      <name val="Arial"/>
    </font>
    <font>
      <b/>
      <sz val="12"/>
      <name val="Arial"/>
    </font>
    <font>
      <b/>
      <sz val="10"/>
      <name val="Arial"/>
    </font>
    <font>
      <b/>
      <sz val="12"/>
      <color rgb="FF292A2E"/>
      <name val="Arial"/>
    </font>
    <font>
      <sz val="12"/>
      <color rgb="FF292A2E"/>
      <name val="Arial"/>
    </font>
    <font>
      <sz val="11"/>
      <color rgb="FF000000"/>
      <name val="Arial"/>
    </font>
    <font>
      <sz val="11"/>
      <color rgb="FF000000"/>
      <name val="Arial"/>
      <charset val="1"/>
    </font>
    <font>
      <sz val="11"/>
      <color rgb="FF242424"/>
      <name val="Aptos Narrow"/>
      <charset val="1"/>
    </font>
    <font>
      <sz val="11"/>
      <color rgb="FF242424"/>
      <name val="Arial"/>
    </font>
    <font>
      <sz val="11"/>
      <name val="Arial"/>
    </font>
    <font>
      <sz val="12"/>
      <color rgb="FF000000"/>
      <name val="Arial"/>
      <charset val="1"/>
    </font>
    <font>
      <b/>
      <sz val="11"/>
      <color rgb="FF242424"/>
      <name val="Aptos Narrow"/>
      <charset val="1"/>
    </font>
    <font>
      <sz val="11"/>
      <color rgb="FFFF0000"/>
      <name val="Arial"/>
      <family val="2"/>
    </font>
    <font>
      <sz val="11"/>
      <color rgb="FFFF0000"/>
      <name val="Arial"/>
      <charset val="1"/>
    </font>
    <font>
      <sz val="10"/>
      <color rgb="FFFF0000"/>
      <name val="Arial"/>
    </font>
    <font>
      <sz val="12"/>
      <color rgb="FFFF0000"/>
      <name val="Arial"/>
      <family val="2"/>
    </font>
    <font>
      <sz val="10"/>
      <color rgb="FF292A2E"/>
      <name val="Arial"/>
    </font>
    <font>
      <sz val="11"/>
      <color rgb="FF292A2E"/>
      <name val="Atlassian Sans"/>
      <charset val="1"/>
    </font>
    <font>
      <sz val="10"/>
      <color rgb="FF000000"/>
      <name val="Arial"/>
      <charset val="1"/>
    </font>
    <font>
      <b/>
      <sz val="11"/>
      <color rgb="FF000000"/>
      <name val="Arial"/>
      <charset val="1"/>
    </font>
    <font>
      <sz val="11"/>
      <color rgb="FF292A2E"/>
      <name val="Arial"/>
    </font>
    <font>
      <sz val="10"/>
      <color rgb="FF000000"/>
      <name val="Arial"/>
    </font>
  </fonts>
  <fills count="19">
    <fill>
      <patternFill patternType="none"/>
    </fill>
    <fill>
      <patternFill patternType="gray125"/>
    </fill>
    <fill>
      <patternFill patternType="solid">
        <fgColor indexed="47"/>
        <bgColor indexed="64"/>
      </patternFill>
    </fill>
    <fill>
      <patternFill patternType="solid">
        <fgColor rgb="FFCCFFCC"/>
        <bgColor indexed="64"/>
      </patternFill>
    </fill>
    <fill>
      <patternFill patternType="solid">
        <fgColor theme="0"/>
        <bgColor indexed="64"/>
      </patternFill>
    </fill>
    <fill>
      <patternFill patternType="solid">
        <fgColor rgb="FFFFFF99"/>
        <bgColor indexed="64"/>
      </patternFill>
    </fill>
    <fill>
      <patternFill patternType="lightUp">
        <fgColor rgb="FFFF0000"/>
        <bgColor theme="0" tint="-4.9989318521683403E-2"/>
      </patternFill>
    </fill>
    <fill>
      <patternFill patternType="solid">
        <fgColor theme="9" tint="0.39997558519241921"/>
        <bgColor indexed="64"/>
      </patternFill>
    </fill>
    <fill>
      <patternFill patternType="solid">
        <fgColor theme="8"/>
        <bgColor indexed="64"/>
      </patternFill>
    </fill>
    <fill>
      <patternFill patternType="solid">
        <fgColor theme="6" tint="0.59999389629810485"/>
        <bgColor indexed="64"/>
      </patternFill>
    </fill>
    <fill>
      <patternFill patternType="solid">
        <fgColor rgb="FF9FC5E8"/>
        <bgColor rgb="FF9FC5E8"/>
      </patternFill>
    </fill>
    <fill>
      <patternFill patternType="solid">
        <fgColor rgb="FFF4CCCC"/>
        <bgColor rgb="FFF4CCCC"/>
      </patternFill>
    </fill>
    <fill>
      <patternFill patternType="solid">
        <fgColor theme="0"/>
        <bgColor theme="0"/>
      </patternFill>
    </fill>
    <fill>
      <patternFill patternType="solid">
        <fgColor rgb="FFFFFFFF"/>
        <bgColor rgb="FFFFFFFF"/>
      </patternFill>
    </fill>
    <fill>
      <patternFill patternType="solid">
        <fgColor theme="0" tint="-0.249977111117893"/>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1" fillId="0" borderId="0"/>
  </cellStyleXfs>
  <cellXfs count="232">
    <xf numFmtId="0" fontId="0" fillId="0" borderId="0" xfId="0"/>
    <xf numFmtId="0" fontId="2" fillId="0" borderId="0" xfId="0" applyFont="1"/>
    <xf numFmtId="0" fontId="0" fillId="0" borderId="0" xfId="0" applyAlignment="1">
      <alignment horizontal="center"/>
    </xf>
    <xf numFmtId="0" fontId="4" fillId="0" borderId="0" xfId="0" applyFont="1"/>
    <xf numFmtId="0" fontId="0" fillId="0" borderId="0" xfId="0" applyAlignment="1">
      <alignment vertical="top" wrapText="1"/>
    </xf>
    <xf numFmtId="0" fontId="0" fillId="0" borderId="0" xfId="0" applyAlignment="1">
      <alignment horizontal="center" vertical="top"/>
    </xf>
    <xf numFmtId="0" fontId="0" fillId="0" borderId="0" xfId="0" applyAlignment="1">
      <alignment vertical="top"/>
    </xf>
    <xf numFmtId="17" fontId="0" fillId="0" borderId="0" xfId="0" applyNumberFormat="1" applyAlignment="1">
      <alignment vertical="top" wrapText="1"/>
    </xf>
    <xf numFmtId="0" fontId="0" fillId="0" borderId="1" xfId="0" applyBorder="1" applyAlignment="1">
      <alignment vertical="top" wrapText="1"/>
    </xf>
    <xf numFmtId="0" fontId="7" fillId="0" borderId="0" xfId="0" applyFont="1" applyAlignment="1">
      <alignment vertical="top"/>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xf>
    <xf numFmtId="0" fontId="0" fillId="0" borderId="2" xfId="0" applyBorder="1"/>
    <xf numFmtId="0" fontId="0" fillId="0" borderId="3" xfId="0" applyBorder="1" applyAlignment="1">
      <alignment horizontal="left"/>
    </xf>
    <xf numFmtId="0" fontId="0" fillId="0" borderId="3" xfId="0" applyBorder="1"/>
    <xf numFmtId="0" fontId="0" fillId="2" borderId="1" xfId="0" applyFill="1" applyBorder="1" applyAlignment="1">
      <alignment horizontal="center"/>
    </xf>
    <xf numFmtId="0" fontId="0" fillId="0" borderId="1" xfId="0" applyBorder="1"/>
    <xf numFmtId="14" fontId="0" fillId="2" borderId="1" xfId="0" applyNumberFormat="1" applyFill="1" applyBorder="1" applyAlignment="1">
      <alignment horizontal="center"/>
    </xf>
    <xf numFmtId="0" fontId="0" fillId="0" borderId="1" xfId="0" applyBorder="1" applyAlignment="1">
      <alignment horizontal="center"/>
    </xf>
    <xf numFmtId="14" fontId="0" fillId="2" borderId="3" xfId="0" applyNumberFormat="1" applyFill="1" applyBorder="1" applyAlignment="1">
      <alignment horizontal="center"/>
    </xf>
    <xf numFmtId="0" fontId="2" fillId="0" borderId="3" xfId="0" applyFont="1" applyBorder="1" applyAlignment="1">
      <alignment horizontal="right"/>
    </xf>
    <xf numFmtId="0" fontId="9" fillId="6" borderId="1" xfId="0" applyFont="1" applyFill="1" applyBorder="1" applyAlignment="1">
      <alignment vertical="top" wrapText="1"/>
    </xf>
    <xf numFmtId="0" fontId="2" fillId="0" borderId="1" xfId="0" applyFont="1" applyBorder="1" applyAlignment="1">
      <alignment horizontal="center"/>
    </xf>
    <xf numFmtId="0" fontId="2" fillId="0" borderId="1" xfId="0" applyFont="1" applyBorder="1"/>
    <xf numFmtId="0" fontId="10" fillId="0" borderId="0" xfId="0" applyFont="1" applyAlignment="1">
      <alignment horizontal="left" vertical="top"/>
    </xf>
    <xf numFmtId="0" fontId="0" fillId="0" borderId="0" xfId="0" applyAlignment="1">
      <alignment horizontal="center" vertical="center" wrapText="1"/>
    </xf>
    <xf numFmtId="14" fontId="0" fillId="7" borderId="1" xfId="0" applyNumberFormat="1" applyFill="1" applyBorder="1" applyAlignment="1">
      <alignment horizontal="center"/>
    </xf>
    <xf numFmtId="0" fontId="7" fillId="0" borderId="0" xfId="0" applyFont="1" applyAlignment="1">
      <alignment vertical="center" wrapText="1"/>
    </xf>
    <xf numFmtId="0" fontId="0" fillId="0" borderId="1" xfId="0" applyBorder="1" applyAlignment="1">
      <alignment horizontal="left" vertical="top" wrapText="1"/>
    </xf>
    <xf numFmtId="0" fontId="11" fillId="10" borderId="5" xfId="1" applyFont="1" applyFill="1" applyBorder="1" applyAlignment="1">
      <alignment horizontal="center" vertical="top"/>
    </xf>
    <xf numFmtId="0" fontId="1" fillId="0" borderId="0" xfId="1"/>
    <xf numFmtId="0" fontId="14" fillId="12" borderId="5" xfId="1" applyFont="1" applyFill="1" applyBorder="1" applyAlignment="1">
      <alignment horizontal="center" vertical="center" wrapText="1"/>
    </xf>
    <xf numFmtId="0" fontId="13" fillId="0" borderId="7" xfId="1" applyFont="1" applyBorder="1" applyAlignment="1">
      <alignment horizontal="center" vertical="center" wrapText="1"/>
    </xf>
    <xf numFmtId="0" fontId="14" fillId="13" borderId="8" xfId="1" applyFont="1" applyFill="1" applyBorder="1" applyAlignment="1">
      <alignment horizontal="center" vertical="center" wrapText="1"/>
    </xf>
    <xf numFmtId="0" fontId="14" fillId="0" borderId="8" xfId="1" applyFont="1" applyBorder="1" applyAlignment="1">
      <alignment horizontal="center" vertical="center" wrapText="1"/>
    </xf>
    <xf numFmtId="0" fontId="13" fillId="0" borderId="8" xfId="1" applyFont="1" applyBorder="1" applyAlignment="1">
      <alignment horizontal="center" vertical="center" wrapText="1"/>
    </xf>
    <xf numFmtId="0" fontId="16" fillId="0" borderId="5" xfId="1" applyFont="1" applyBorder="1" applyAlignment="1">
      <alignment horizontal="center" vertical="center" wrapText="1"/>
    </xf>
    <xf numFmtId="0" fontId="14" fillId="0" borderId="5" xfId="1" applyFont="1" applyBorder="1" applyAlignment="1">
      <alignment horizontal="center" vertical="center" wrapText="1"/>
    </xf>
    <xf numFmtId="0" fontId="1" fillId="14" borderId="0" xfId="1" applyFill="1"/>
    <xf numFmtId="0" fontId="17" fillId="13" borderId="5" xfId="1" applyFont="1" applyFill="1" applyBorder="1" applyAlignment="1">
      <alignment horizontal="center" vertical="center" wrapText="1"/>
    </xf>
    <xf numFmtId="9" fontId="14" fillId="0" borderId="5" xfId="1" applyNumberFormat="1" applyFont="1" applyBorder="1" applyAlignment="1">
      <alignment horizontal="center" vertical="center" wrapText="1"/>
    </xf>
    <xf numFmtId="0" fontId="12" fillId="13" borderId="0" xfId="1" applyFont="1" applyFill="1" applyAlignment="1">
      <alignment horizontal="left" vertical="center" wrapText="1"/>
    </xf>
    <xf numFmtId="0" fontId="14" fillId="0" borderId="7" xfId="1" applyFont="1" applyBorder="1" applyAlignment="1">
      <alignment horizontal="center" vertical="center" wrapText="1"/>
    </xf>
    <xf numFmtId="0" fontId="18" fillId="12" borderId="0" xfId="1" applyFont="1" applyFill="1"/>
    <xf numFmtId="0" fontId="19" fillId="13" borderId="5" xfId="1" applyFont="1" applyFill="1" applyBorder="1" applyAlignment="1">
      <alignment horizontal="center" vertical="center" wrapText="1"/>
    </xf>
    <xf numFmtId="0" fontId="20" fillId="13" borderId="5" xfId="1" applyFont="1" applyFill="1" applyBorder="1" applyAlignment="1">
      <alignment horizontal="center" vertical="center" wrapText="1"/>
    </xf>
    <xf numFmtId="0" fontId="18" fillId="0" borderId="0" xfId="1" applyFont="1" applyAlignment="1">
      <alignment vertical="center" wrapText="1"/>
    </xf>
    <xf numFmtId="0" fontId="18" fillId="0" borderId="0" xfId="1" applyFont="1" applyAlignment="1">
      <alignment vertical="center"/>
    </xf>
    <xf numFmtId="14" fontId="21" fillId="0" borderId="1" xfId="0" applyNumberFormat="1" applyFont="1" applyBorder="1" applyAlignment="1">
      <alignment horizontal="center" vertical="top" wrapText="1"/>
    </xf>
    <xf numFmtId="0" fontId="22" fillId="0" borderId="1" xfId="0" applyFont="1" applyBorder="1" applyAlignment="1">
      <alignment horizontal="center" vertical="top"/>
    </xf>
    <xf numFmtId="0" fontId="4" fillId="4" borderId="0" xfId="0" applyFont="1" applyFill="1" applyAlignment="1">
      <alignment vertical="center" wrapText="1"/>
    </xf>
    <xf numFmtId="0" fontId="4" fillId="0" borderId="0" xfId="0" applyFont="1" applyAlignment="1">
      <alignment horizontal="center" vertical="center" wrapText="1"/>
    </xf>
    <xf numFmtId="0" fontId="4" fillId="4" borderId="0" xfId="0" applyFont="1" applyFill="1" applyAlignment="1">
      <alignment horizontal="center" vertical="center" wrapText="1"/>
    </xf>
    <xf numFmtId="0" fontId="2" fillId="2" borderId="1" xfId="0" applyFont="1" applyFill="1" applyBorder="1" applyAlignment="1">
      <alignment horizontal="center" vertical="center"/>
    </xf>
    <xf numFmtId="0" fontId="2" fillId="2" borderId="10"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horizontal="left" vertical="center" wrapText="1"/>
    </xf>
    <xf numFmtId="0" fontId="21" fillId="3" borderId="1" xfId="0" applyFont="1" applyFill="1" applyBorder="1" applyAlignment="1">
      <alignment horizontal="left" vertical="center" wrapText="1"/>
    </xf>
    <xf numFmtId="0" fontId="25" fillId="3" borderId="0" xfId="0" applyFont="1" applyFill="1" applyAlignment="1">
      <alignment vertical="center"/>
    </xf>
    <xf numFmtId="0" fontId="25" fillId="3" borderId="1" xfId="0" applyFont="1" applyFill="1" applyBorder="1" applyAlignment="1">
      <alignment vertical="center" wrapText="1"/>
    </xf>
    <xf numFmtId="0" fontId="25" fillId="3" borderId="5" xfId="0" applyFont="1" applyFill="1" applyBorder="1" applyAlignment="1">
      <alignment vertical="center"/>
    </xf>
    <xf numFmtId="0" fontId="26" fillId="3" borderId="6" xfId="0" applyFont="1" applyFill="1" applyBorder="1" applyAlignment="1">
      <alignment vertical="center" wrapText="1"/>
    </xf>
    <xf numFmtId="0" fontId="27" fillId="3" borderId="5" xfId="0" applyFont="1" applyFill="1" applyBorder="1" applyAlignment="1">
      <alignment vertical="center" wrapText="1"/>
    </xf>
    <xf numFmtId="0" fontId="28" fillId="3" borderId="0" xfId="0" applyFont="1" applyFill="1" applyAlignment="1">
      <alignment vertical="center" wrapText="1"/>
    </xf>
    <xf numFmtId="0" fontId="28" fillId="3" borderId="5" xfId="0" applyFont="1" applyFill="1" applyBorder="1" applyAlignment="1">
      <alignment horizontal="left" vertical="center" wrapText="1"/>
    </xf>
    <xf numFmtId="0" fontId="22" fillId="3" borderId="3" xfId="0" applyFont="1" applyFill="1" applyBorder="1" applyAlignment="1">
      <alignment horizontal="left" vertical="center" wrapText="1"/>
    </xf>
    <xf numFmtId="0" fontId="25" fillId="3" borderId="1" xfId="0" applyFont="1" applyFill="1" applyBorder="1" applyAlignment="1">
      <alignment horizontal="center" vertical="center"/>
    </xf>
    <xf numFmtId="0" fontId="22" fillId="3" borderId="1" xfId="0" applyFont="1" applyFill="1" applyBorder="1" applyAlignment="1">
      <alignment horizontal="left" vertical="center" wrapText="1"/>
    </xf>
    <xf numFmtId="0" fontId="22" fillId="3" borderId="12" xfId="0" applyFont="1" applyFill="1" applyBorder="1" applyAlignment="1">
      <alignment horizontal="left" vertical="center" wrapText="1"/>
    </xf>
    <xf numFmtId="0" fontId="22" fillId="3" borderId="16" xfId="0" applyFont="1" applyFill="1" applyBorder="1" applyAlignment="1">
      <alignment horizontal="left" vertical="center" wrapText="1"/>
    </xf>
    <xf numFmtId="0" fontId="28" fillId="3" borderId="5" xfId="0" applyFont="1" applyFill="1" applyBorder="1" applyAlignment="1">
      <alignment vertical="center" wrapText="1"/>
    </xf>
    <xf numFmtId="0" fontId="22" fillId="3" borderId="1" xfId="0" applyFont="1" applyFill="1" applyBorder="1" applyAlignment="1">
      <alignment vertical="center" wrapText="1"/>
    </xf>
    <xf numFmtId="0" fontId="22" fillId="3" borderId="10" xfId="0" applyFont="1" applyFill="1" applyBorder="1" applyAlignment="1">
      <alignment horizontal="left" vertical="center" wrapText="1"/>
    </xf>
    <xf numFmtId="0" fontId="30" fillId="3" borderId="1" xfId="0" applyFont="1" applyFill="1" applyBorder="1" applyAlignment="1">
      <alignment vertical="center" wrapText="1"/>
    </xf>
    <xf numFmtId="0" fontId="31" fillId="3" borderId="0" xfId="0" applyFont="1" applyFill="1" applyAlignment="1">
      <alignment vertical="center" wrapText="1"/>
    </xf>
    <xf numFmtId="0" fontId="31" fillId="3" borderId="5" xfId="0" applyFont="1" applyFill="1" applyBorder="1" applyAlignment="1">
      <alignment vertical="center" wrapText="1"/>
    </xf>
    <xf numFmtId="0" fontId="26" fillId="3" borderId="1" xfId="0" applyFont="1" applyFill="1" applyBorder="1" applyAlignment="1">
      <alignment vertical="center" wrapText="1"/>
    </xf>
    <xf numFmtId="0" fontId="25" fillId="3" borderId="1" xfId="0" applyFont="1" applyFill="1" applyBorder="1" applyAlignment="1">
      <alignment horizontal="left" vertical="center" wrapText="1"/>
    </xf>
    <xf numFmtId="0" fontId="25" fillId="3" borderId="10" xfId="0" applyFont="1" applyFill="1" applyBorder="1" applyAlignment="1">
      <alignment horizontal="left" vertical="center" wrapText="1"/>
    </xf>
    <xf numFmtId="0" fontId="30" fillId="3" borderId="0" xfId="0" applyFont="1" applyFill="1" applyAlignment="1">
      <alignment vertical="center" wrapText="1"/>
    </xf>
    <xf numFmtId="0" fontId="30" fillId="3" borderId="5" xfId="0" applyFont="1" applyFill="1" applyBorder="1" applyAlignment="1">
      <alignment vertical="center" wrapText="1"/>
    </xf>
    <xf numFmtId="0" fontId="31" fillId="3" borderId="1" xfId="0" applyFont="1" applyFill="1" applyBorder="1" applyAlignment="1">
      <alignment horizontal="left" vertical="center" wrapText="1"/>
    </xf>
    <xf numFmtId="0" fontId="25" fillId="3" borderId="5" xfId="0" applyFont="1" applyFill="1" applyBorder="1" applyAlignment="1">
      <alignment vertical="center" wrapText="1"/>
    </xf>
    <xf numFmtId="0" fontId="25" fillId="3" borderId="0" xfId="0" applyFont="1" applyFill="1" applyAlignment="1">
      <alignment vertical="center" wrapText="1"/>
    </xf>
    <xf numFmtId="0" fontId="25" fillId="3" borderId="12" xfId="0" applyFont="1" applyFill="1" applyBorder="1" applyAlignment="1">
      <alignment horizontal="left" vertical="center" wrapText="1"/>
    </xf>
    <xf numFmtId="0" fontId="31" fillId="3" borderId="4" xfId="0" applyFont="1" applyFill="1" applyBorder="1" applyAlignment="1">
      <alignment horizontal="left" vertical="center" wrapText="1"/>
    </xf>
    <xf numFmtId="0" fontId="25" fillId="3" borderId="19" xfId="0" applyFont="1" applyFill="1" applyBorder="1" applyAlignment="1">
      <alignment horizontal="left" vertical="center" wrapText="1"/>
    </xf>
    <xf numFmtId="0" fontId="25" fillId="3" borderId="3" xfId="0" applyFont="1" applyFill="1" applyBorder="1" applyAlignment="1">
      <alignment vertical="center" wrapText="1"/>
    </xf>
    <xf numFmtId="0" fontId="31" fillId="3" borderId="2" xfId="0" applyFont="1" applyFill="1" applyBorder="1" applyAlignment="1">
      <alignment horizontal="left" vertical="center" wrapText="1"/>
    </xf>
    <xf numFmtId="0" fontId="21" fillId="3" borderId="18" xfId="0" applyFont="1" applyFill="1" applyBorder="1" applyAlignment="1">
      <alignment horizontal="left" vertical="center" wrapText="1"/>
    </xf>
    <xf numFmtId="0" fontId="21" fillId="3" borderId="5" xfId="0" applyFont="1" applyFill="1" applyBorder="1" applyAlignment="1">
      <alignment horizontal="left" vertical="center" wrapText="1"/>
    </xf>
    <xf numFmtId="0" fontId="0" fillId="15" borderId="1" xfId="0" applyFill="1" applyBorder="1" applyAlignment="1">
      <alignment horizontal="left" vertical="center" wrapText="1"/>
    </xf>
    <xf numFmtId="0" fontId="0" fillId="15" borderId="1" xfId="0" applyFill="1" applyBorder="1" applyAlignment="1">
      <alignment vertical="center" wrapText="1"/>
    </xf>
    <xf numFmtId="0" fontId="0" fillId="15" borderId="1" xfId="0" applyFill="1" applyBorder="1" applyAlignment="1">
      <alignment horizontal="center" vertical="center"/>
    </xf>
    <xf numFmtId="0" fontId="25" fillId="3" borderId="5" xfId="0" applyFont="1" applyFill="1" applyBorder="1" applyAlignment="1">
      <alignment horizontal="center" vertical="center"/>
    </xf>
    <xf numFmtId="0" fontId="25" fillId="3" borderId="4" xfId="0" applyFont="1" applyFill="1" applyBorder="1" applyAlignment="1">
      <alignment horizontal="center" vertical="center"/>
    </xf>
    <xf numFmtId="0" fontId="2" fillId="9" borderId="10" xfId="0" applyFont="1" applyFill="1" applyBorder="1" applyAlignment="1">
      <alignment horizontal="center" vertical="center"/>
    </xf>
    <xf numFmtId="0" fontId="25" fillId="3" borderId="12" xfId="0" applyFont="1" applyFill="1" applyBorder="1" applyAlignment="1">
      <alignment horizontal="center" vertical="center"/>
    </xf>
    <xf numFmtId="0" fontId="32" fillId="0" borderId="1" xfId="0" applyFont="1" applyBorder="1" applyAlignment="1">
      <alignment horizontal="left" vertical="center" wrapText="1"/>
    </xf>
    <xf numFmtId="0" fontId="32" fillId="0" borderId="1" xfId="0" applyFont="1" applyBorder="1" applyAlignment="1">
      <alignment horizontal="left" vertical="top" wrapText="1"/>
    </xf>
    <xf numFmtId="0" fontId="25" fillId="3" borderId="1" xfId="0" applyFont="1" applyFill="1" applyBorder="1" applyAlignment="1">
      <alignment vertical="center"/>
    </xf>
    <xf numFmtId="0" fontId="33" fillId="3" borderId="0" xfId="0" applyFont="1" applyFill="1" applyAlignment="1">
      <alignment vertical="center" wrapText="1"/>
    </xf>
    <xf numFmtId="0" fontId="31" fillId="3" borderId="1" xfId="0" applyFont="1" applyFill="1" applyBorder="1" applyAlignment="1">
      <alignment vertical="center" wrapText="1"/>
    </xf>
    <xf numFmtId="0" fontId="31" fillId="3" borderId="10" xfId="0" applyFont="1" applyFill="1" applyBorder="1" applyAlignment="1">
      <alignment vertical="center" wrapText="1"/>
    </xf>
    <xf numFmtId="0" fontId="25" fillId="3" borderId="12" xfId="0" applyFont="1" applyFill="1" applyBorder="1" applyAlignment="1">
      <alignment vertical="center" wrapText="1"/>
    </xf>
    <xf numFmtId="0" fontId="31" fillId="3" borderId="12" xfId="0" applyFont="1" applyFill="1" applyBorder="1" applyAlignment="1">
      <alignment vertical="center" wrapText="1"/>
    </xf>
    <xf numFmtId="0" fontId="25" fillId="3" borderId="10" xfId="0" applyFont="1" applyFill="1" applyBorder="1" applyAlignment="1">
      <alignment vertical="center" wrapText="1"/>
    </xf>
    <xf numFmtId="0" fontId="33" fillId="3" borderId="5" xfId="0" applyFont="1" applyFill="1" applyBorder="1" applyAlignment="1">
      <alignment vertical="center" wrapText="1"/>
    </xf>
    <xf numFmtId="0" fontId="32" fillId="0" borderId="0" xfId="0" applyFont="1" applyAlignment="1">
      <alignment horizontal="center" vertical="top"/>
    </xf>
    <xf numFmtId="0" fontId="2" fillId="0" borderId="0" xfId="0" applyFont="1" applyAlignment="1">
      <alignment vertical="center" wrapText="1"/>
    </xf>
    <xf numFmtId="0" fontId="10" fillId="4" borderId="0" xfId="0" applyFont="1" applyFill="1" applyAlignment="1">
      <alignment horizontal="center" vertical="center" wrapText="1"/>
    </xf>
    <xf numFmtId="0" fontId="2" fillId="0" borderId="1" xfId="0" applyFont="1" applyBorder="1" applyAlignment="1">
      <alignment horizontal="left" vertical="center" wrapText="1"/>
    </xf>
    <xf numFmtId="0" fontId="32" fillId="15" borderId="1" xfId="0" applyFont="1" applyFill="1" applyBorder="1" applyAlignment="1">
      <alignment horizontal="left" vertical="center" wrapText="1"/>
    </xf>
    <xf numFmtId="0" fontId="32" fillId="0" borderId="0" xfId="0" applyFont="1" applyAlignment="1">
      <alignment vertical="top"/>
    </xf>
    <xf numFmtId="0" fontId="0" fillId="0" borderId="0" xfId="0" applyAlignment="1">
      <alignment wrapText="1"/>
    </xf>
    <xf numFmtId="0" fontId="34" fillId="3" borderId="5" xfId="0" applyFont="1" applyFill="1" applyBorder="1" applyAlignment="1">
      <alignment vertical="center" wrapText="1"/>
    </xf>
    <xf numFmtId="0" fontId="36" fillId="0" borderId="5" xfId="0" applyFont="1" applyBorder="1"/>
    <xf numFmtId="0" fontId="37" fillId="0" borderId="5" xfId="0" applyFont="1" applyBorder="1" applyAlignment="1">
      <alignment wrapText="1"/>
    </xf>
    <xf numFmtId="0" fontId="0" fillId="0" borderId="5" xfId="0" applyBorder="1"/>
    <xf numFmtId="0" fontId="14" fillId="0" borderId="6" xfId="1" applyFont="1" applyBorder="1" applyAlignment="1">
      <alignment horizontal="center" vertical="center" wrapText="1"/>
    </xf>
    <xf numFmtId="0" fontId="0" fillId="0" borderId="7" xfId="0" applyBorder="1"/>
    <xf numFmtId="0" fontId="0" fillId="0" borderId="5" xfId="0" applyBorder="1" applyAlignment="1">
      <alignment wrapText="1"/>
    </xf>
    <xf numFmtId="0" fontId="37" fillId="0" borderId="5" xfId="0" applyFont="1" applyBorder="1"/>
    <xf numFmtId="0" fontId="36" fillId="0" borderId="0" xfId="0" applyFont="1" applyAlignment="1">
      <alignment wrapText="1"/>
    </xf>
    <xf numFmtId="0" fontId="36" fillId="0" borderId="5" xfId="0" applyFont="1" applyBorder="1" applyAlignment="1">
      <alignment wrapText="1"/>
    </xf>
    <xf numFmtId="0" fontId="14" fillId="0" borderId="9" xfId="1" applyFont="1" applyBorder="1" applyAlignment="1">
      <alignment horizontal="center" vertical="center" wrapText="1"/>
    </xf>
    <xf numFmtId="0" fontId="0" fillId="0" borderId="6" xfId="0" applyBorder="1" applyAlignment="1">
      <alignment wrapText="1"/>
    </xf>
    <xf numFmtId="0" fontId="36" fillId="0" borderId="9" xfId="0" applyFont="1" applyBorder="1" applyAlignment="1">
      <alignment wrapText="1"/>
    </xf>
    <xf numFmtId="0" fontId="40" fillId="0" borderId="0" xfId="0" applyFont="1"/>
    <xf numFmtId="0" fontId="40" fillId="0" borderId="5" xfId="0" applyFont="1" applyBorder="1"/>
    <xf numFmtId="0" fontId="14" fillId="0" borderId="20" xfId="1" applyFont="1" applyBorder="1" applyAlignment="1">
      <alignment horizontal="center" vertical="center" wrapText="1"/>
    </xf>
    <xf numFmtId="0" fontId="14" fillId="0" borderId="21" xfId="1" applyFont="1" applyBorder="1" applyAlignment="1">
      <alignment horizontal="center" vertical="center" wrapText="1"/>
    </xf>
    <xf numFmtId="0" fontId="36" fillId="0" borderId="7" xfId="0" applyFont="1" applyBorder="1"/>
    <xf numFmtId="0" fontId="13" fillId="0" borderId="5" xfId="1" applyFont="1" applyBorder="1" applyAlignment="1">
      <alignment horizontal="center" vertical="center" wrapText="1"/>
    </xf>
    <xf numFmtId="0" fontId="40" fillId="0" borderId="7" xfId="0" applyFont="1" applyBorder="1"/>
    <xf numFmtId="0" fontId="1" fillId="4" borderId="0" xfId="1" applyFill="1"/>
    <xf numFmtId="0" fontId="14" fillId="4" borderId="5" xfId="1" applyFont="1" applyFill="1" applyBorder="1" applyAlignment="1">
      <alignment horizontal="center" vertical="center" wrapText="1"/>
    </xf>
    <xf numFmtId="0" fontId="13" fillId="0" borderId="0" xfId="1" applyFont="1" applyBorder="1" applyAlignment="1">
      <alignment horizontal="center" vertical="center" wrapText="1"/>
    </xf>
    <xf numFmtId="9" fontId="14" fillId="0" borderId="9" xfId="1" applyNumberFormat="1" applyFont="1" applyBorder="1" applyAlignment="1">
      <alignment horizontal="center" vertical="center" wrapText="1"/>
    </xf>
    <xf numFmtId="0" fontId="15" fillId="18" borderId="5" xfId="1" applyFont="1" applyFill="1" applyBorder="1" applyAlignment="1">
      <alignment horizontal="left" vertical="center" wrapText="1"/>
    </xf>
    <xf numFmtId="0" fontId="0" fillId="0" borderId="5" xfId="0" applyBorder="1" applyAlignment="1">
      <alignment horizontal="left" vertical="center" wrapText="1"/>
    </xf>
    <xf numFmtId="0" fontId="14" fillId="0" borderId="5" xfId="1" applyFont="1" applyBorder="1" applyAlignment="1">
      <alignment horizontal="left" vertical="center" wrapText="1"/>
    </xf>
    <xf numFmtId="0" fontId="47" fillId="0" borderId="5" xfId="0" applyFont="1" applyBorder="1" applyAlignment="1">
      <alignment wrapText="1"/>
    </xf>
    <xf numFmtId="0" fontId="15" fillId="18" borderId="5" xfId="1" applyFont="1" applyFill="1" applyBorder="1" applyAlignment="1">
      <alignment horizontal="center" vertical="center" wrapText="1"/>
    </xf>
    <xf numFmtId="0" fontId="47" fillId="0" borderId="0" xfId="0" applyFont="1" applyAlignment="1">
      <alignment wrapText="1"/>
    </xf>
    <xf numFmtId="0" fontId="36" fillId="0" borderId="7" xfId="0" applyFont="1" applyBorder="1" applyAlignment="1">
      <alignment wrapText="1"/>
    </xf>
    <xf numFmtId="0" fontId="48" fillId="0" borderId="5" xfId="0" applyFont="1" applyBorder="1" applyAlignment="1">
      <alignment wrapText="1"/>
    </xf>
    <xf numFmtId="0" fontId="50" fillId="16" borderId="5" xfId="0" applyFont="1" applyFill="1" applyBorder="1" applyAlignment="1">
      <alignment wrapText="1"/>
    </xf>
    <xf numFmtId="0" fontId="51" fillId="0" borderId="5" xfId="0" applyFont="1" applyBorder="1" applyAlignment="1">
      <alignment horizontal="left" vertical="center" wrapText="1"/>
    </xf>
    <xf numFmtId="0" fontId="13" fillId="12" borderId="5" xfId="1" applyFont="1" applyFill="1" applyBorder="1" applyAlignment="1">
      <alignment horizontal="center" vertical="center" wrapText="1"/>
    </xf>
    <xf numFmtId="9" fontId="14" fillId="12" borderId="5" xfId="1" applyNumberFormat="1" applyFont="1" applyFill="1" applyBorder="1" applyAlignment="1">
      <alignment horizontal="center" vertical="center" wrapText="1"/>
    </xf>
    <xf numFmtId="0" fontId="14" fillId="13" borderId="5" xfId="1" applyFont="1" applyFill="1" applyBorder="1" applyAlignment="1">
      <alignment horizontal="center" vertical="center" wrapText="1"/>
    </xf>
    <xf numFmtId="0" fontId="50" fillId="0" borderId="5" xfId="0" applyFont="1" applyBorder="1" applyAlignment="1">
      <alignment horizontal="center" vertical="center" wrapText="1"/>
    </xf>
    <xf numFmtId="0" fontId="38" fillId="0" borderId="5" xfId="0" applyFont="1" applyBorder="1" applyAlignment="1">
      <alignment horizontal="center" vertical="center"/>
    </xf>
    <xf numFmtId="0" fontId="46" fillId="0" borderId="5" xfId="0" applyFont="1" applyBorder="1" applyAlignment="1">
      <alignment wrapText="1"/>
    </xf>
    <xf numFmtId="0" fontId="46" fillId="0" borderId="5" xfId="0" applyFont="1" applyBorder="1" applyAlignment="1">
      <alignment vertical="center" wrapText="1"/>
    </xf>
    <xf numFmtId="0" fontId="50" fillId="16" borderId="5" xfId="0" applyFont="1" applyFill="1" applyBorder="1" applyAlignment="1">
      <alignment horizontal="center" vertical="center" wrapText="1"/>
    </xf>
    <xf numFmtId="0" fontId="36" fillId="0" borderId="5" xfId="0" applyFont="1" applyBorder="1" applyAlignment="1">
      <alignment horizontal="center" wrapText="1"/>
    </xf>
    <xf numFmtId="0" fontId="49" fillId="0" borderId="5" xfId="0" applyFont="1" applyBorder="1" applyAlignment="1">
      <alignment wrapText="1"/>
    </xf>
    <xf numFmtId="0" fontId="32" fillId="0" borderId="7" xfId="0" applyFont="1" applyBorder="1" applyAlignment="1">
      <alignment wrapText="1"/>
    </xf>
    <xf numFmtId="0" fontId="12" fillId="10" borderId="5" xfId="1" applyFont="1" applyFill="1" applyBorder="1" applyAlignment="1">
      <alignment horizontal="center" vertical="top"/>
    </xf>
    <xf numFmtId="0" fontId="12" fillId="10" borderId="5" xfId="1" applyFont="1" applyFill="1" applyBorder="1" applyAlignment="1">
      <alignment horizontal="center" vertical="top" wrapText="1"/>
    </xf>
    <xf numFmtId="0" fontId="12" fillId="11" borderId="5" xfId="1" applyFont="1" applyFill="1" applyBorder="1" applyAlignment="1">
      <alignment horizontal="center" vertical="top" wrapText="1"/>
    </xf>
    <xf numFmtId="0" fontId="14" fillId="13" borderId="5" xfId="1" applyFont="1" applyFill="1" applyBorder="1" applyAlignment="1">
      <alignment horizontal="center" vertical="center"/>
    </xf>
    <xf numFmtId="0" fontId="15" fillId="12" borderId="5" xfId="1" applyFont="1" applyFill="1" applyBorder="1" applyAlignment="1">
      <alignment horizontal="center" vertical="center" wrapText="1"/>
    </xf>
    <xf numFmtId="0" fontId="13" fillId="4" borderId="5" xfId="1" applyFont="1" applyFill="1" applyBorder="1" applyAlignment="1">
      <alignment horizontal="center" vertical="center" wrapText="1"/>
    </xf>
    <xf numFmtId="0" fontId="35" fillId="0" borderId="5" xfId="1" applyFont="1" applyBorder="1" applyAlignment="1">
      <alignment horizontal="center" vertical="center" wrapText="1"/>
    </xf>
    <xf numFmtId="0" fontId="35" fillId="0" borderId="5" xfId="0" applyFont="1" applyBorder="1" applyAlignment="1">
      <alignment wrapText="1"/>
    </xf>
    <xf numFmtId="9" fontId="14" fillId="4" borderId="5" xfId="1" applyNumberFormat="1" applyFont="1" applyFill="1" applyBorder="1" applyAlignment="1">
      <alignment horizontal="center" vertical="center" wrapText="1"/>
    </xf>
    <xf numFmtId="0" fontId="39" fillId="0" borderId="5" xfId="0" applyFont="1" applyBorder="1" applyAlignment="1">
      <alignment wrapText="1"/>
    </xf>
    <xf numFmtId="164" fontId="13" fillId="0" borderId="5" xfId="1" applyNumberFormat="1" applyFont="1" applyBorder="1" applyAlignment="1">
      <alignment horizontal="center" vertical="center" wrapText="1"/>
    </xf>
    <xf numFmtId="164" fontId="13" fillId="12" borderId="5" xfId="1" applyNumberFormat="1" applyFont="1" applyFill="1" applyBorder="1" applyAlignment="1">
      <alignment horizontal="center" vertical="center" wrapText="1"/>
    </xf>
    <xf numFmtId="164" fontId="14" fillId="12" borderId="5" xfId="1" applyNumberFormat="1" applyFont="1" applyFill="1" applyBorder="1" applyAlignment="1">
      <alignment horizontal="center" vertical="center" wrapText="1"/>
    </xf>
    <xf numFmtId="0" fontId="41" fillId="0" borderId="5" xfId="0" applyFont="1" applyBorder="1" applyAlignment="1">
      <alignment wrapText="1"/>
    </xf>
    <xf numFmtId="9" fontId="36" fillId="0" borderId="5" xfId="0" applyNumberFormat="1" applyFont="1" applyBorder="1"/>
    <xf numFmtId="0" fontId="42" fillId="15" borderId="5" xfId="1" applyFont="1" applyFill="1" applyBorder="1" applyAlignment="1">
      <alignment horizontal="center" vertical="center" wrapText="1"/>
    </xf>
    <xf numFmtId="0" fontId="43" fillId="15" borderId="5" xfId="0" applyFont="1" applyFill="1" applyBorder="1" applyAlignment="1">
      <alignment wrapText="1"/>
    </xf>
    <xf numFmtId="0" fontId="44" fillId="15" borderId="5" xfId="0" applyFont="1" applyFill="1" applyBorder="1" applyAlignment="1">
      <alignment wrapText="1"/>
    </xf>
    <xf numFmtId="0" fontId="45" fillId="15" borderId="5" xfId="1" applyFont="1" applyFill="1" applyBorder="1" applyAlignment="1">
      <alignment horizontal="center" vertical="center" wrapText="1"/>
    </xf>
    <xf numFmtId="0" fontId="14" fillId="15" borderId="5" xfId="1" applyFont="1" applyFill="1" applyBorder="1" applyAlignment="1">
      <alignment horizontal="center" vertical="center" wrapText="1"/>
    </xf>
    <xf numFmtId="0" fontId="43" fillId="15" borderId="5" xfId="0" applyFont="1" applyFill="1" applyBorder="1"/>
    <xf numFmtId="9" fontId="42" fillId="15" borderId="5" xfId="1" applyNumberFormat="1" applyFont="1" applyFill="1" applyBorder="1" applyAlignment="1">
      <alignment horizontal="center" vertical="center" wrapText="1"/>
    </xf>
    <xf numFmtId="0" fontId="44" fillId="15" borderId="5" xfId="0" applyFont="1" applyFill="1" applyBorder="1"/>
    <xf numFmtId="0" fontId="14" fillId="17" borderId="5" xfId="1" applyFont="1" applyFill="1" applyBorder="1" applyAlignment="1">
      <alignment horizontal="center" vertical="center" wrapText="1"/>
    </xf>
    <xf numFmtId="0" fontId="36" fillId="0" borderId="5" xfId="0" applyFont="1" applyBorder="1" applyAlignment="1">
      <alignment horizontal="left" vertical="center"/>
    </xf>
    <xf numFmtId="9" fontId="14" fillId="0" borderId="5" xfId="1" applyNumberFormat="1" applyFont="1" applyBorder="1" applyAlignment="1">
      <alignment horizontal="left" vertical="center" wrapText="1"/>
    </xf>
    <xf numFmtId="0" fontId="13" fillId="0" borderId="5" xfId="1" applyFont="1" applyBorder="1" applyAlignment="1">
      <alignment horizontal="left" vertical="center" wrapText="1"/>
    </xf>
    <xf numFmtId="0" fontId="36" fillId="0" borderId="5" xfId="0" applyFont="1" applyBorder="1" applyAlignment="1">
      <alignment horizontal="left" vertical="center" wrapText="1"/>
    </xf>
    <xf numFmtId="0" fontId="0" fillId="0" borderId="5" xfId="0" applyBorder="1" applyAlignment="1">
      <alignment horizontal="left" vertical="center"/>
    </xf>
    <xf numFmtId="0" fontId="14" fillId="18" borderId="5" xfId="1" applyFont="1" applyFill="1" applyBorder="1" applyAlignment="1">
      <alignment horizontal="center" vertical="center" wrapText="1"/>
    </xf>
    <xf numFmtId="0" fontId="0" fillId="0" borderId="8" xfId="0" applyBorder="1" applyAlignment="1">
      <alignment wrapText="1"/>
    </xf>
    <xf numFmtId="9" fontId="14" fillId="0" borderId="7" xfId="1" applyNumberFormat="1" applyFont="1" applyBorder="1" applyAlignment="1">
      <alignment horizontal="center" vertical="center" wrapText="1"/>
    </xf>
    <xf numFmtId="0" fontId="51" fillId="2" borderId="1" xfId="0" applyFont="1" applyFill="1" applyBorder="1" applyAlignment="1">
      <alignment horizontal="center"/>
    </xf>
    <xf numFmtId="0" fontId="0" fillId="0" borderId="1" xfId="0" applyBorder="1" applyAlignment="1">
      <alignment horizontal="center" vertical="top"/>
    </xf>
    <xf numFmtId="0" fontId="48" fillId="0" borderId="0" xfId="0" applyFont="1"/>
    <xf numFmtId="14" fontId="0" fillId="0" borderId="1" xfId="0" applyNumberFormat="1" applyBorder="1" applyAlignment="1">
      <alignment horizontal="center"/>
    </xf>
    <xf numFmtId="0" fontId="2" fillId="2" borderId="4" xfId="0" applyFont="1" applyFill="1" applyBorder="1" applyAlignment="1">
      <alignment horizontal="center" vertical="top"/>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xf numFmtId="0" fontId="2" fillId="8" borderId="4" xfId="0" applyFont="1" applyFill="1" applyBorder="1" applyAlignment="1">
      <alignment horizontal="center" vertical="top" wrapText="1"/>
    </xf>
    <xf numFmtId="0" fontId="2" fillId="8" borderId="2" xfId="0" applyFont="1" applyFill="1" applyBorder="1" applyAlignment="1">
      <alignment horizontal="center" vertical="top" wrapText="1"/>
    </xf>
    <xf numFmtId="0" fontId="2" fillId="8" borderId="3" xfId="0" applyFont="1" applyFill="1" applyBorder="1" applyAlignment="1">
      <alignment horizontal="center" vertical="top" wrapText="1"/>
    </xf>
    <xf numFmtId="0" fontId="2" fillId="9" borderId="4" xfId="0" applyFont="1" applyFill="1" applyBorder="1" applyAlignment="1">
      <alignment horizontal="center" vertical="top" wrapText="1"/>
    </xf>
    <xf numFmtId="0" fontId="2" fillId="9" borderId="2" xfId="0" applyFont="1" applyFill="1" applyBorder="1" applyAlignment="1">
      <alignment horizontal="center" vertical="top" wrapText="1"/>
    </xf>
    <xf numFmtId="0" fontId="2" fillId="9" borderId="3" xfId="0" applyFont="1" applyFill="1" applyBorder="1" applyAlignment="1">
      <alignment horizontal="center" vertical="top" wrapText="1"/>
    </xf>
    <xf numFmtId="0" fontId="7" fillId="0" borderId="0" xfId="0" applyFont="1" applyAlignment="1">
      <alignment horizontal="left" vertical="center" wrapText="1"/>
    </xf>
    <xf numFmtId="0" fontId="7" fillId="0" borderId="1" xfId="0" applyFont="1" applyBorder="1" applyAlignment="1">
      <alignment horizontal="center" vertical="center" wrapText="1"/>
    </xf>
    <xf numFmtId="0" fontId="0" fillId="0" borderId="1" xfId="0" applyBorder="1" applyAlignment="1">
      <alignment horizontal="center" vertical="top"/>
    </xf>
    <xf numFmtId="0" fontId="0" fillId="0" borderId="4" xfId="0" applyBorder="1" applyAlignment="1">
      <alignment horizontal="center" vertical="top"/>
    </xf>
    <xf numFmtId="0" fontId="23" fillId="0" borderId="1" xfId="0" applyFont="1" applyBorder="1" applyAlignment="1">
      <alignment horizontal="center" vertical="top"/>
    </xf>
    <xf numFmtId="0" fontId="22" fillId="0" borderId="10" xfId="0" applyFont="1" applyBorder="1" applyAlignment="1">
      <alignment horizontal="center" vertical="top" wrapText="1"/>
    </xf>
    <xf numFmtId="0" fontId="22" fillId="0" borderId="11" xfId="0" applyFont="1" applyBorder="1" applyAlignment="1">
      <alignment horizontal="center" vertical="top"/>
    </xf>
    <xf numFmtId="0" fontId="22" fillId="0" borderId="12" xfId="0" applyFont="1" applyBorder="1" applyAlignment="1">
      <alignment horizontal="center" vertical="top"/>
    </xf>
    <xf numFmtId="0" fontId="24" fillId="0" borderId="4" xfId="0" applyFont="1" applyBorder="1" applyAlignment="1">
      <alignment horizontal="center" vertical="top"/>
    </xf>
    <xf numFmtId="0" fontId="24" fillId="0" borderId="2" xfId="0" applyFont="1" applyBorder="1" applyAlignment="1">
      <alignment horizontal="center" vertical="top"/>
    </xf>
    <xf numFmtId="0" fontId="24" fillId="0" borderId="3" xfId="0" applyFont="1" applyBorder="1" applyAlignment="1">
      <alignment horizontal="center" vertical="top"/>
    </xf>
    <xf numFmtId="0" fontId="21" fillId="0" borderId="13" xfId="0" applyFont="1" applyBorder="1" applyAlignment="1">
      <alignment horizontal="center" vertical="top" wrapText="1"/>
    </xf>
    <xf numFmtId="0" fontId="21" fillId="0" borderId="14" xfId="0" applyFont="1" applyBorder="1" applyAlignment="1">
      <alignment horizontal="center" vertical="top"/>
    </xf>
    <xf numFmtId="0" fontId="21" fillId="0" borderId="15" xfId="0" applyFont="1" applyBorder="1" applyAlignment="1">
      <alignment horizontal="center" vertical="top"/>
    </xf>
    <xf numFmtId="0" fontId="21" fillId="0" borderId="0" xfId="0" applyFont="1" applyAlignment="1">
      <alignment horizontal="center" vertical="top"/>
    </xf>
    <xf numFmtId="0" fontId="21" fillId="0" borderId="16" xfId="0" applyFont="1" applyBorder="1" applyAlignment="1">
      <alignment horizontal="center" vertical="top"/>
    </xf>
    <xf numFmtId="0" fontId="21" fillId="0" borderId="17" xfId="0" applyFont="1" applyBorder="1" applyAlignment="1">
      <alignment horizontal="center" vertical="top"/>
    </xf>
    <xf numFmtId="0" fontId="22" fillId="0" borderId="1" xfId="0" applyFont="1" applyBorder="1" applyAlignment="1">
      <alignment horizontal="center" vertical="top" wrapText="1"/>
    </xf>
    <xf numFmtId="0" fontId="22" fillId="0" borderId="13" xfId="0" applyFont="1" applyBorder="1" applyAlignment="1">
      <alignment horizontal="center" vertical="top" wrapText="1"/>
    </xf>
    <xf numFmtId="0" fontId="22" fillId="0" borderId="15" xfId="0" applyFont="1" applyBorder="1" applyAlignment="1">
      <alignment horizontal="center" vertical="top" wrapText="1"/>
    </xf>
    <xf numFmtId="0" fontId="22" fillId="0" borderId="16" xfId="0" applyFont="1" applyBorder="1" applyAlignment="1">
      <alignment horizontal="center" vertical="top" wrapText="1"/>
    </xf>
  </cellXfs>
  <cellStyles count="2">
    <cellStyle name="Normal" xfId="0" builtinId="0"/>
    <cellStyle name="Normal 2" xfId="1" xr:uid="{CC21022A-83A8-4CA8-B708-6271B605DC96}"/>
  </cellStyles>
  <dxfs count="28">
    <dxf>
      <font>
        <condense val="0"/>
        <extend val="0"/>
        <color indexed="9"/>
      </font>
    </dxf>
    <dxf>
      <font>
        <b/>
        <i val="0"/>
        <condense val="0"/>
        <extend val="0"/>
      </font>
    </dxf>
    <dxf>
      <font>
        <condense val="0"/>
        <extend val="0"/>
        <color indexed="54"/>
      </font>
    </dxf>
    <dxf>
      <font>
        <b/>
        <i val="0"/>
        <condense val="0"/>
        <extend val="0"/>
      </font>
    </dxf>
    <dxf>
      <font>
        <condense val="0"/>
        <extend val="0"/>
        <color indexed="54"/>
      </font>
    </dxf>
    <dxf>
      <font>
        <b/>
        <i val="0"/>
        <condense val="0"/>
        <extend val="0"/>
      </font>
    </dxf>
    <dxf>
      <font>
        <condense val="0"/>
        <extend val="0"/>
        <color indexed="54"/>
      </font>
    </dxf>
    <dxf>
      <fill>
        <patternFill patternType="lightUp">
          <fgColor indexed="10"/>
          <bgColor indexed="65"/>
        </patternFill>
      </fill>
    </dxf>
    <dxf>
      <fill>
        <patternFill>
          <bgColor indexed="43"/>
        </patternFill>
      </fill>
    </dxf>
    <dxf>
      <fill>
        <patternFill>
          <bgColor indexed="42"/>
        </patternFill>
      </fill>
    </dxf>
    <dxf>
      <fill>
        <patternFill patternType="lightUp">
          <fgColor indexed="10"/>
          <bgColor indexed="65"/>
        </patternFill>
      </fill>
    </dxf>
    <dxf>
      <fill>
        <patternFill>
          <bgColor indexed="43"/>
        </patternFill>
      </fill>
    </dxf>
    <dxf>
      <fill>
        <patternFill>
          <bgColor indexed="42"/>
        </patternFill>
      </fill>
    </dxf>
    <dxf>
      <fill>
        <patternFill patternType="lightUp">
          <fgColor indexed="10"/>
          <bgColor indexed="65"/>
        </patternFill>
      </fill>
    </dxf>
    <dxf>
      <fill>
        <patternFill>
          <bgColor indexed="43"/>
        </patternFill>
      </fill>
    </dxf>
    <dxf>
      <fill>
        <patternFill>
          <bgColor indexed="42"/>
        </patternFill>
      </fill>
    </dxf>
    <dxf>
      <fill>
        <patternFill patternType="lightUp">
          <fgColor indexed="10"/>
          <bgColor indexed="65"/>
        </patternFill>
      </fill>
    </dxf>
    <dxf>
      <fill>
        <patternFill>
          <bgColor indexed="43"/>
        </patternFill>
      </fill>
    </dxf>
    <dxf>
      <fill>
        <patternFill>
          <bgColor indexed="42"/>
        </patternFill>
      </fill>
    </dxf>
    <dxf>
      <fill>
        <patternFill patternType="lightUp">
          <fgColor indexed="10"/>
          <bgColor indexed="65"/>
        </patternFill>
      </fill>
    </dxf>
    <dxf>
      <fill>
        <patternFill>
          <bgColor indexed="43"/>
        </patternFill>
      </fill>
    </dxf>
    <dxf>
      <fill>
        <patternFill>
          <bgColor indexed="42"/>
        </patternFill>
      </fill>
    </dxf>
    <dxf>
      <fill>
        <patternFill patternType="lightUp">
          <fgColor indexed="10"/>
          <bgColor indexed="65"/>
        </patternFill>
      </fill>
    </dxf>
    <dxf>
      <fill>
        <patternFill>
          <bgColor indexed="43"/>
        </patternFill>
      </fill>
    </dxf>
    <dxf>
      <fill>
        <patternFill>
          <bgColor indexed="42"/>
        </patternFill>
      </fill>
    </dxf>
    <dxf>
      <fill>
        <patternFill>
          <bgColor indexed="42"/>
        </patternFill>
      </fill>
    </dxf>
    <dxf>
      <fill>
        <patternFill patternType="lightUp">
          <fgColor indexed="10"/>
          <bgColor indexed="65"/>
        </patternFill>
      </fill>
    </dxf>
    <dxf>
      <fill>
        <patternFill>
          <bgColor indexed="43"/>
        </patternFill>
      </fill>
    </dxf>
  </dxfs>
  <tableStyles count="0" defaultTableStyle="TableStyleMedium2" defaultPivotStyle="PivotStyleLight16"/>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638175</xdr:colOff>
      <xdr:row>1</xdr:row>
      <xdr:rowOff>57150</xdr:rowOff>
    </xdr:from>
    <xdr:to>
      <xdr:col>1</xdr:col>
      <xdr:colOff>1381125</xdr:colOff>
      <xdr:row>4</xdr:row>
      <xdr:rowOff>209550</xdr:rowOff>
    </xdr:to>
    <xdr:pic>
      <xdr:nvPicPr>
        <xdr:cNvPr id="2" name="Imagen 1">
          <a:extLst>
            <a:ext uri="{FF2B5EF4-FFF2-40B4-BE49-F238E27FC236}">
              <a16:creationId xmlns:a16="http://schemas.microsoft.com/office/drawing/2014/main" id="{67FB1F8F-1AF2-4E85-AB31-713F0A5EFB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6300" y="228600"/>
          <a:ext cx="76200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2025\Sena\Artefactos\Segundo%20Trimestre\Listade%20tareas%20por%20Historia.xlsx" TargetMode="External"/><Relationship Id="rId1" Type="http://schemas.openxmlformats.org/officeDocument/2006/relationships/externalLinkPath" Target="Listade%20tareas%20por%20Histor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cklog del Producto"/>
      <sheetName val="tareas por historias "/>
      <sheetName val="Sprints"/>
    </sheetNames>
    <sheetDataSet>
      <sheetData sheetId="0"/>
      <sheetData sheetId="1" refreshError="1"/>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2:S88"/>
  <sheetViews>
    <sheetView showGridLines="0" topLeftCell="C55" zoomScale="80" zoomScaleNormal="80" workbookViewId="0">
      <selection activeCell="M17" sqref="M17"/>
    </sheetView>
  </sheetViews>
  <sheetFormatPr defaultColWidth="9.140625" defaultRowHeight="12.75"/>
  <cols>
    <col min="1" max="1" width="3.42578125" style="6" customWidth="1"/>
    <col min="2" max="2" width="21.7109375" style="5" customWidth="1"/>
    <col min="3" max="3" width="19.7109375" style="5" customWidth="1"/>
    <col min="4" max="4" width="48" style="5" customWidth="1"/>
    <col min="5" max="5" width="24.28515625" style="5" customWidth="1"/>
    <col min="6" max="6" width="17.7109375" style="114" customWidth="1"/>
    <col min="7" max="7" width="19" style="4" customWidth="1"/>
    <col min="8" max="8" width="56.42578125" style="4" customWidth="1"/>
    <col min="9" max="9" width="23.5703125" style="4" customWidth="1"/>
    <col min="10" max="10" width="53.140625" style="4" customWidth="1"/>
    <col min="11" max="11" width="10.28515625" style="5" customWidth="1"/>
    <col min="12" max="13" width="15" style="5" customWidth="1"/>
    <col min="14" max="14" width="4.7109375" style="5" customWidth="1"/>
    <col min="15" max="15" width="17.42578125" style="5" customWidth="1"/>
    <col min="16" max="16" width="39.5703125" style="4" customWidth="1"/>
    <col min="17" max="17" width="6" style="6" customWidth="1"/>
    <col min="18" max="16384" width="9.140625" style="6"/>
  </cols>
  <sheetData>
    <row r="2" spans="2:19" ht="21">
      <c r="B2" s="213"/>
      <c r="C2" s="213"/>
      <c r="D2" s="215" t="s">
        <v>0</v>
      </c>
      <c r="E2" s="215"/>
      <c r="F2" s="215"/>
      <c r="G2" s="215"/>
      <c r="H2" s="215"/>
      <c r="I2" s="215"/>
    </row>
    <row r="3" spans="2:19" ht="13.15">
      <c r="B3" s="213"/>
      <c r="C3" s="214"/>
      <c r="D3" s="216" t="s">
        <v>1</v>
      </c>
      <c r="E3" s="222" t="s">
        <v>2</v>
      </c>
      <c r="F3" s="223"/>
      <c r="G3" s="228" t="s">
        <v>3</v>
      </c>
      <c r="H3" s="229" t="s">
        <v>4</v>
      </c>
      <c r="I3" s="228" t="s">
        <v>5</v>
      </c>
    </row>
    <row r="4" spans="2:19" ht="13.15">
      <c r="B4" s="213"/>
      <c r="C4" s="214"/>
      <c r="D4" s="217"/>
      <c r="E4" s="224"/>
      <c r="F4" s="225"/>
      <c r="G4" s="228"/>
      <c r="H4" s="230"/>
      <c r="I4" s="228"/>
    </row>
    <row r="5" spans="2:19" ht="34.9" customHeight="1">
      <c r="B5" s="213"/>
      <c r="C5" s="214"/>
      <c r="D5" s="218"/>
      <c r="E5" s="226"/>
      <c r="F5" s="227"/>
      <c r="G5" s="49">
        <v>45687</v>
      </c>
      <c r="H5" s="231"/>
      <c r="I5" s="228"/>
    </row>
    <row r="6" spans="2:19" ht="22.9">
      <c r="D6" s="50" t="s">
        <v>6</v>
      </c>
      <c r="E6" s="219" t="s">
        <v>7</v>
      </c>
      <c r="F6" s="220"/>
      <c r="G6" s="220"/>
      <c r="H6" s="220"/>
      <c r="I6" s="221"/>
    </row>
    <row r="9" spans="2:19" ht="18">
      <c r="B9" s="25" t="s">
        <v>8</v>
      </c>
      <c r="C9" s="25"/>
      <c r="D9" s="25"/>
      <c r="E9" s="25"/>
      <c r="R9" s="11"/>
      <c r="S9" s="9" t="s">
        <v>9</v>
      </c>
    </row>
    <row r="10" spans="2:19" customFormat="1" ht="18" customHeight="1">
      <c r="B10" s="211" t="s">
        <v>10</v>
      </c>
      <c r="C10" s="211"/>
      <c r="D10" s="212" t="s">
        <v>11</v>
      </c>
      <c r="E10" s="212"/>
      <c r="F10" s="115"/>
      <c r="G10" s="28"/>
      <c r="H10" s="28"/>
      <c r="I10" s="51"/>
      <c r="J10" s="51"/>
      <c r="K10" s="51"/>
      <c r="L10" s="51"/>
      <c r="M10" s="51"/>
      <c r="N10" s="51"/>
      <c r="O10" s="5"/>
      <c r="P10" s="52"/>
      <c r="Q10" s="52"/>
      <c r="R10" s="12"/>
      <c r="S10" s="9" t="s">
        <v>12</v>
      </c>
    </row>
    <row r="11" spans="2:19" customFormat="1" ht="18" customHeight="1">
      <c r="B11" s="211" t="s">
        <v>13</v>
      </c>
      <c r="C11" s="211"/>
      <c r="D11" s="212" t="s">
        <v>14</v>
      </c>
      <c r="E11" s="212"/>
      <c r="F11" s="115"/>
      <c r="G11" s="28"/>
      <c r="H11" s="28"/>
      <c r="I11" s="51"/>
      <c r="J11" s="51"/>
      <c r="K11" s="51"/>
      <c r="L11" s="51"/>
      <c r="M11" s="51"/>
      <c r="N11" s="51"/>
      <c r="O11" s="5"/>
      <c r="P11" s="52"/>
      <c r="Q11" s="52"/>
      <c r="R11" s="10"/>
      <c r="S11" s="9" t="s">
        <v>15</v>
      </c>
    </row>
    <row r="12" spans="2:19" customFormat="1" ht="18">
      <c r="B12" s="53"/>
      <c r="C12" s="53"/>
      <c r="D12" s="53"/>
      <c r="E12" s="53"/>
      <c r="F12" s="116"/>
      <c r="G12" s="26"/>
      <c r="H12" s="26"/>
      <c r="I12" s="26"/>
      <c r="J12" s="26"/>
      <c r="K12" s="2"/>
      <c r="L12" s="2"/>
      <c r="M12" s="2"/>
      <c r="N12" s="52"/>
      <c r="O12" s="53"/>
      <c r="P12" s="52"/>
      <c r="Q12" s="52"/>
      <c r="R12" s="22"/>
      <c r="S12" s="9" t="s">
        <v>16</v>
      </c>
    </row>
    <row r="13" spans="2:19" ht="13.15">
      <c r="B13" s="202" t="s">
        <v>17</v>
      </c>
      <c r="C13" s="203"/>
      <c r="D13" s="203"/>
      <c r="E13" s="204"/>
      <c r="F13" s="205" t="s">
        <v>18</v>
      </c>
      <c r="G13" s="206"/>
      <c r="H13" s="206"/>
      <c r="I13" s="207"/>
      <c r="J13" s="208" t="s">
        <v>19</v>
      </c>
      <c r="K13" s="209"/>
      <c r="L13" s="209"/>
      <c r="M13" s="209"/>
      <c r="N13" s="209"/>
      <c r="O13" s="209"/>
      <c r="P13" s="210"/>
    </row>
    <row r="14" spans="2:19" ht="24">
      <c r="B14" s="54" t="s">
        <v>20</v>
      </c>
      <c r="C14" s="54" t="s">
        <v>21</v>
      </c>
      <c r="D14" s="55" t="s">
        <v>22</v>
      </c>
      <c r="E14" s="55" t="s">
        <v>23</v>
      </c>
      <c r="F14" s="56" t="s">
        <v>24</v>
      </c>
      <c r="G14" s="57" t="s">
        <v>25</v>
      </c>
      <c r="H14" s="56" t="s">
        <v>26</v>
      </c>
      <c r="I14" s="57" t="s">
        <v>27</v>
      </c>
      <c r="J14" s="58" t="s">
        <v>28</v>
      </c>
      <c r="K14" s="59" t="s">
        <v>29</v>
      </c>
      <c r="L14" s="59" t="s">
        <v>30</v>
      </c>
      <c r="M14" s="59" t="s">
        <v>31</v>
      </c>
      <c r="N14" s="59" t="s">
        <v>32</v>
      </c>
      <c r="O14" s="102" t="s">
        <v>33</v>
      </c>
      <c r="P14" s="58" t="s">
        <v>34</v>
      </c>
    </row>
    <row r="15" spans="2:19" ht="409.5" customHeight="1">
      <c r="B15" s="63" t="s">
        <v>35</v>
      </c>
      <c r="C15" s="64" t="s">
        <v>36</v>
      </c>
      <c r="D15" s="66" t="s">
        <v>37</v>
      </c>
      <c r="E15" s="67" t="s">
        <v>38</v>
      </c>
      <c r="F15" s="94" t="s">
        <v>39</v>
      </c>
      <c r="G15" s="68" t="s">
        <v>40</v>
      </c>
      <c r="H15" s="69" t="s">
        <v>41</v>
      </c>
      <c r="I15" s="70" t="s">
        <v>42</v>
      </c>
      <c r="J15" s="71" t="s">
        <v>43</v>
      </c>
      <c r="K15" s="72"/>
      <c r="L15" s="72"/>
      <c r="M15" s="72"/>
      <c r="N15" s="101">
        <v>1</v>
      </c>
      <c r="O15" s="100" t="s">
        <v>44</v>
      </c>
      <c r="P15" s="93"/>
    </row>
    <row r="16" spans="2:19" ht="306.75">
      <c r="B16" s="73"/>
      <c r="C16" s="73"/>
      <c r="D16" s="74"/>
      <c r="E16" s="74"/>
      <c r="F16" s="94" t="s">
        <v>45</v>
      </c>
      <c r="G16" s="75" t="s">
        <v>40</v>
      </c>
      <c r="H16" s="76" t="s">
        <v>46</v>
      </c>
      <c r="I16" s="69" t="s">
        <v>47</v>
      </c>
      <c r="J16" s="77" t="s">
        <v>48</v>
      </c>
      <c r="K16" s="72"/>
      <c r="L16" s="72"/>
      <c r="M16" s="65" t="s">
        <v>49</v>
      </c>
      <c r="N16" s="72">
        <v>1</v>
      </c>
      <c r="O16" s="103" t="s">
        <v>44</v>
      </c>
      <c r="P16" s="65"/>
    </row>
    <row r="17" spans="2:16" ht="225" customHeight="1">
      <c r="B17" s="63" t="s">
        <v>50</v>
      </c>
      <c r="C17" s="73" t="s">
        <v>36</v>
      </c>
      <c r="D17" s="73" t="s">
        <v>51</v>
      </c>
      <c r="E17" s="78" t="s">
        <v>52</v>
      </c>
      <c r="F17" s="63" t="s">
        <v>53</v>
      </c>
      <c r="G17" s="73" t="s">
        <v>54</v>
      </c>
      <c r="H17" s="74" t="s">
        <v>55</v>
      </c>
      <c r="I17" s="73" t="s">
        <v>56</v>
      </c>
      <c r="J17" s="79" t="s">
        <v>57</v>
      </c>
      <c r="K17" s="72"/>
      <c r="L17" s="72"/>
      <c r="M17" s="72"/>
      <c r="N17" s="72">
        <v>1</v>
      </c>
      <c r="O17" s="72" t="s">
        <v>44</v>
      </c>
      <c r="P17" s="65"/>
    </row>
    <row r="18" spans="2:16" ht="246.75" customHeight="1">
      <c r="B18" s="63" t="s">
        <v>58</v>
      </c>
      <c r="C18" s="73" t="s">
        <v>36</v>
      </c>
      <c r="D18" s="80" t="s">
        <v>59</v>
      </c>
      <c r="E18" s="81" t="s">
        <v>60</v>
      </c>
      <c r="F18" s="95" t="s">
        <v>61</v>
      </c>
      <c r="G18" s="69" t="s">
        <v>62</v>
      </c>
      <c r="H18" s="73" t="s">
        <v>63</v>
      </c>
      <c r="I18" s="73" t="s">
        <v>64</v>
      </c>
      <c r="J18" s="82" t="s">
        <v>65</v>
      </c>
      <c r="K18" s="72"/>
      <c r="L18" s="72"/>
      <c r="M18" s="72"/>
      <c r="N18" s="72">
        <v>1</v>
      </c>
      <c r="O18" s="72" t="s">
        <v>44</v>
      </c>
      <c r="P18" s="65"/>
    </row>
    <row r="19" spans="2:16" ht="154.5" customHeight="1">
      <c r="B19" s="63" t="s">
        <v>66</v>
      </c>
      <c r="C19" s="73" t="s">
        <v>36</v>
      </c>
      <c r="D19" s="83" t="s">
        <v>67</v>
      </c>
      <c r="E19" s="80" t="s">
        <v>68</v>
      </c>
      <c r="F19" s="96" t="s">
        <v>69</v>
      </c>
      <c r="G19" s="71" t="s">
        <v>70</v>
      </c>
      <c r="H19" s="78" t="s">
        <v>71</v>
      </c>
      <c r="I19" s="73" t="s">
        <v>72</v>
      </c>
      <c r="J19" s="77" t="s">
        <v>73</v>
      </c>
      <c r="K19" s="72"/>
      <c r="L19" s="72"/>
      <c r="M19" s="72"/>
      <c r="N19" s="72">
        <v>3</v>
      </c>
      <c r="O19" s="72" t="s">
        <v>44</v>
      </c>
      <c r="P19" s="65"/>
    </row>
    <row r="20" spans="2:16" ht="211.5" customHeight="1">
      <c r="B20" s="83"/>
      <c r="C20" s="83"/>
      <c r="D20" s="84"/>
      <c r="E20" s="83"/>
      <c r="F20" s="96" t="s">
        <v>74</v>
      </c>
      <c r="G20" s="85" t="s">
        <v>75</v>
      </c>
      <c r="H20" s="86" t="s">
        <v>76</v>
      </c>
      <c r="I20" s="85" t="s">
        <v>77</v>
      </c>
      <c r="J20" s="65" t="s">
        <v>78</v>
      </c>
      <c r="K20" s="72"/>
      <c r="L20" s="72"/>
      <c r="M20" s="72"/>
      <c r="N20" s="72">
        <v>3</v>
      </c>
      <c r="O20" s="72" t="s">
        <v>44</v>
      </c>
      <c r="P20" s="65"/>
    </row>
    <row r="21" spans="2:16" ht="232.5" customHeight="1">
      <c r="B21" s="87" t="s">
        <v>79</v>
      </c>
      <c r="C21" s="64" t="s">
        <v>36</v>
      </c>
      <c r="D21" s="88" t="s">
        <v>80</v>
      </c>
      <c r="E21" s="89" t="s">
        <v>81</v>
      </c>
      <c r="F21" s="96" t="s">
        <v>82</v>
      </c>
      <c r="G21" s="83" t="s">
        <v>70</v>
      </c>
      <c r="H21" s="90" t="s">
        <v>83</v>
      </c>
      <c r="I21" s="83" t="s">
        <v>84</v>
      </c>
      <c r="J21" s="65" t="s">
        <v>85</v>
      </c>
      <c r="K21" s="72"/>
      <c r="L21" s="72"/>
      <c r="M21" s="72"/>
      <c r="N21" s="72">
        <v>1</v>
      </c>
      <c r="O21" s="72" t="s">
        <v>44</v>
      </c>
      <c r="P21" s="65"/>
    </row>
    <row r="22" spans="2:16" ht="130.5" customHeight="1">
      <c r="B22" s="91" t="s">
        <v>86</v>
      </c>
      <c r="C22" s="66" t="s">
        <v>36</v>
      </c>
      <c r="D22" s="92" t="s">
        <v>87</v>
      </c>
      <c r="E22" s="83" t="s">
        <v>88</v>
      </c>
      <c r="F22" s="87" t="s">
        <v>89</v>
      </c>
      <c r="G22" s="83" t="s">
        <v>70</v>
      </c>
      <c r="H22" s="83" t="s">
        <v>90</v>
      </c>
      <c r="I22" s="83" t="s">
        <v>91</v>
      </c>
      <c r="J22" s="65" t="s">
        <v>92</v>
      </c>
      <c r="K22" s="72"/>
      <c r="L22" s="72"/>
      <c r="M22" s="72"/>
      <c r="N22" s="72">
        <v>2</v>
      </c>
      <c r="O22" s="72" t="s">
        <v>44</v>
      </c>
      <c r="P22" s="65"/>
    </row>
    <row r="23" spans="2:16" ht="171" customHeight="1">
      <c r="B23" s="83"/>
      <c r="C23" s="90"/>
      <c r="D23" s="83"/>
      <c r="E23" s="83"/>
      <c r="F23" s="87" t="s">
        <v>93</v>
      </c>
      <c r="G23" s="83" t="s">
        <v>94</v>
      </c>
      <c r="H23" s="83" t="s">
        <v>95</v>
      </c>
      <c r="I23" s="83" t="s">
        <v>96</v>
      </c>
      <c r="J23" s="65" t="s">
        <v>97</v>
      </c>
      <c r="K23" s="72"/>
      <c r="L23" s="72"/>
      <c r="M23" s="72" t="s">
        <v>98</v>
      </c>
      <c r="N23" s="72">
        <v>2</v>
      </c>
      <c r="O23" s="72" t="s">
        <v>44</v>
      </c>
      <c r="P23" s="65"/>
    </row>
    <row r="24" spans="2:16" ht="131.25" customHeight="1">
      <c r="B24" s="83"/>
      <c r="C24" s="83"/>
      <c r="D24" s="83"/>
      <c r="E24" s="83"/>
      <c r="F24" s="87" t="s">
        <v>99</v>
      </c>
      <c r="G24" s="83" t="s">
        <v>70</v>
      </c>
      <c r="H24" s="83" t="s">
        <v>100</v>
      </c>
      <c r="I24" s="83" t="s">
        <v>101</v>
      </c>
      <c r="J24" s="65" t="s">
        <v>102</v>
      </c>
      <c r="K24" s="72"/>
      <c r="L24" s="72"/>
      <c r="M24" s="72" t="s">
        <v>103</v>
      </c>
      <c r="N24" s="72">
        <v>2</v>
      </c>
      <c r="O24" s="72" t="s">
        <v>44</v>
      </c>
      <c r="P24" s="65"/>
    </row>
    <row r="25" spans="2:16" ht="105.75" customHeight="1">
      <c r="B25" s="87" t="s">
        <v>104</v>
      </c>
      <c r="C25" s="83" t="s">
        <v>94</v>
      </c>
      <c r="D25" s="83" t="s">
        <v>105</v>
      </c>
      <c r="E25" s="83" t="s">
        <v>106</v>
      </c>
      <c r="F25" s="87" t="s">
        <v>107</v>
      </c>
      <c r="G25" s="83" t="s">
        <v>70</v>
      </c>
      <c r="H25" s="83" t="s">
        <v>108</v>
      </c>
      <c r="I25" s="83" t="s">
        <v>109</v>
      </c>
      <c r="J25" s="65" t="s">
        <v>110</v>
      </c>
      <c r="K25" s="72"/>
      <c r="L25" s="72"/>
      <c r="M25" s="72"/>
      <c r="N25" s="72">
        <v>2</v>
      </c>
      <c r="O25" s="72" t="s">
        <v>44</v>
      </c>
      <c r="P25" s="65"/>
    </row>
    <row r="26" spans="2:16" ht="84.75" customHeight="1">
      <c r="B26" s="83"/>
      <c r="C26" s="83"/>
      <c r="D26" s="83"/>
      <c r="E26" s="83"/>
      <c r="F26" s="87" t="s">
        <v>111</v>
      </c>
      <c r="G26" s="83" t="s">
        <v>70</v>
      </c>
      <c r="H26" s="83" t="s">
        <v>112</v>
      </c>
      <c r="I26" s="84" t="s">
        <v>113</v>
      </c>
      <c r="J26" s="65" t="s">
        <v>114</v>
      </c>
      <c r="K26" s="72"/>
      <c r="L26" s="72"/>
      <c r="M26" s="72" t="s">
        <v>115</v>
      </c>
      <c r="N26" s="72">
        <v>3</v>
      </c>
      <c r="O26" s="72" t="s">
        <v>44</v>
      </c>
      <c r="P26" s="65"/>
    </row>
    <row r="27" spans="2:16" ht="202.5" customHeight="1">
      <c r="B27" s="87" t="s">
        <v>116</v>
      </c>
      <c r="C27" s="83" t="s">
        <v>94</v>
      </c>
      <c r="D27" s="83" t="s">
        <v>117</v>
      </c>
      <c r="E27" s="83" t="s">
        <v>118</v>
      </c>
      <c r="F27" s="87" t="s">
        <v>119</v>
      </c>
      <c r="G27" s="83" t="s">
        <v>94</v>
      </c>
      <c r="H27" s="69" t="s">
        <v>120</v>
      </c>
      <c r="I27" s="76" t="s">
        <v>121</v>
      </c>
      <c r="J27" s="93" t="s">
        <v>122</v>
      </c>
      <c r="K27" s="72"/>
      <c r="L27" s="72"/>
      <c r="M27" s="72"/>
      <c r="N27" s="72">
        <v>3</v>
      </c>
      <c r="O27" s="72" t="s">
        <v>44</v>
      </c>
      <c r="P27" s="65"/>
    </row>
    <row r="28" spans="2:16" ht="141.75" customHeight="1">
      <c r="B28" s="83"/>
      <c r="C28" s="83"/>
      <c r="D28" s="83"/>
      <c r="E28" s="83"/>
      <c r="F28" s="87" t="s">
        <v>123</v>
      </c>
      <c r="G28" s="83" t="s">
        <v>94</v>
      </c>
      <c r="H28" s="83" t="s">
        <v>124</v>
      </c>
      <c r="I28" s="90" t="s">
        <v>125</v>
      </c>
      <c r="J28" s="65" t="s">
        <v>126</v>
      </c>
      <c r="K28" s="72"/>
      <c r="L28" s="72"/>
      <c r="M28" s="72">
        <v>373</v>
      </c>
      <c r="N28" s="72">
        <v>3</v>
      </c>
      <c r="O28" s="72" t="s">
        <v>44</v>
      </c>
      <c r="P28" s="65"/>
    </row>
    <row r="29" spans="2:16" ht="210.75" customHeight="1">
      <c r="B29" s="87" t="s">
        <v>127</v>
      </c>
      <c r="C29" s="83" t="s">
        <v>94</v>
      </c>
      <c r="D29" s="83" t="s">
        <v>128</v>
      </c>
      <c r="E29" s="83" t="s">
        <v>129</v>
      </c>
      <c r="F29" s="87" t="s">
        <v>130</v>
      </c>
      <c r="G29" s="83" t="s">
        <v>131</v>
      </c>
      <c r="H29" s="83" t="s">
        <v>132</v>
      </c>
      <c r="I29" s="83" t="s">
        <v>133</v>
      </c>
      <c r="J29" s="65" t="s">
        <v>134</v>
      </c>
      <c r="K29" s="72"/>
      <c r="L29" s="72"/>
      <c r="M29" s="72"/>
      <c r="N29" s="72">
        <v>2</v>
      </c>
      <c r="O29" s="72" t="s">
        <v>44</v>
      </c>
      <c r="P29" s="65"/>
    </row>
    <row r="30" spans="2:16" ht="159.75" customHeight="1">
      <c r="B30" s="83"/>
      <c r="C30" s="83"/>
      <c r="D30" s="83" t="s">
        <v>135</v>
      </c>
      <c r="E30" s="83"/>
      <c r="F30" s="87" t="s">
        <v>136</v>
      </c>
      <c r="G30" s="83" t="s">
        <v>131</v>
      </c>
      <c r="H30" s="83" t="s">
        <v>137</v>
      </c>
      <c r="I30" s="83" t="s">
        <v>138</v>
      </c>
      <c r="J30" s="65" t="s">
        <v>139</v>
      </c>
      <c r="K30" s="72"/>
      <c r="L30" s="72"/>
      <c r="M30" s="72" t="s">
        <v>140</v>
      </c>
      <c r="N30" s="72">
        <v>3</v>
      </c>
      <c r="O30" s="72" t="s">
        <v>44</v>
      </c>
      <c r="P30" s="65"/>
    </row>
    <row r="31" spans="2:16" ht="177" customHeight="1">
      <c r="B31" s="87" t="s">
        <v>141</v>
      </c>
      <c r="C31" s="83" t="s">
        <v>142</v>
      </c>
      <c r="D31" s="83" t="s">
        <v>143</v>
      </c>
      <c r="E31" s="83" t="s">
        <v>144</v>
      </c>
      <c r="F31" s="87" t="s">
        <v>145</v>
      </c>
      <c r="G31" s="83" t="s">
        <v>142</v>
      </c>
      <c r="H31" s="83" t="s">
        <v>146</v>
      </c>
      <c r="I31" s="83" t="s">
        <v>147</v>
      </c>
      <c r="J31" s="65" t="s">
        <v>148</v>
      </c>
      <c r="K31" s="72"/>
      <c r="L31" s="72"/>
      <c r="M31" s="72"/>
      <c r="N31" s="72">
        <v>3</v>
      </c>
      <c r="O31" s="72" t="s">
        <v>44</v>
      </c>
      <c r="P31" s="65"/>
    </row>
    <row r="32" spans="2:16" ht="187.5" customHeight="1">
      <c r="B32" s="83"/>
      <c r="C32" s="83"/>
      <c r="D32" s="83"/>
      <c r="E32" s="83"/>
      <c r="F32" s="87" t="s">
        <v>149</v>
      </c>
      <c r="G32" s="83" t="s">
        <v>142</v>
      </c>
      <c r="H32" s="83" t="s">
        <v>150</v>
      </c>
      <c r="I32" s="83" t="s">
        <v>151</v>
      </c>
      <c r="J32" s="65" t="s">
        <v>152</v>
      </c>
      <c r="K32" s="72"/>
      <c r="L32" s="72"/>
      <c r="M32" s="72"/>
      <c r="N32" s="72">
        <v>3</v>
      </c>
      <c r="O32" s="72" t="s">
        <v>44</v>
      </c>
      <c r="P32" s="65"/>
    </row>
    <row r="33" spans="1:16">
      <c r="B33" s="62"/>
      <c r="C33" s="62"/>
      <c r="D33" s="62"/>
      <c r="E33" s="62"/>
      <c r="F33" s="104"/>
      <c r="G33" s="62"/>
      <c r="H33" s="62"/>
      <c r="I33" s="62"/>
      <c r="J33" s="61"/>
      <c r="K33" s="60"/>
      <c r="L33" s="60"/>
      <c r="M33" s="60"/>
      <c r="N33" s="60"/>
      <c r="O33" s="60"/>
      <c r="P33" s="61"/>
    </row>
    <row r="34" spans="1:16">
      <c r="B34" s="62"/>
      <c r="C34" s="62"/>
      <c r="D34" s="62"/>
      <c r="E34" s="62"/>
      <c r="F34" s="117"/>
      <c r="G34" s="62"/>
      <c r="H34" s="62"/>
      <c r="I34" s="62"/>
      <c r="J34" s="61"/>
      <c r="K34" s="60"/>
      <c r="L34" s="60"/>
      <c r="M34" s="60"/>
      <c r="N34" s="60"/>
      <c r="O34" s="60"/>
      <c r="P34" s="61"/>
    </row>
    <row r="35" spans="1:16">
      <c r="B35" s="97"/>
      <c r="C35" s="97"/>
      <c r="D35" s="97"/>
      <c r="E35" s="97" t="s">
        <v>153</v>
      </c>
      <c r="F35" s="118"/>
      <c r="G35" s="97"/>
      <c r="H35" s="97"/>
      <c r="I35" s="97"/>
      <c r="J35" s="98"/>
      <c r="K35" s="99"/>
      <c r="L35" s="99"/>
      <c r="M35" s="99"/>
      <c r="N35" s="99"/>
      <c r="O35" s="99"/>
      <c r="P35" s="98"/>
    </row>
    <row r="36" spans="1:16" ht="133.5" customHeight="1">
      <c r="B36" s="108" t="s">
        <v>154</v>
      </c>
      <c r="C36" s="65" t="s">
        <v>155</v>
      </c>
      <c r="D36" s="65" t="s">
        <v>156</v>
      </c>
      <c r="E36" s="65" t="s">
        <v>157</v>
      </c>
      <c r="F36" s="108" t="s">
        <v>158</v>
      </c>
      <c r="G36" s="65" t="s">
        <v>159</v>
      </c>
      <c r="H36" s="65" t="s">
        <v>160</v>
      </c>
      <c r="I36" s="65" t="s">
        <v>161</v>
      </c>
      <c r="J36" s="65" t="s">
        <v>162</v>
      </c>
      <c r="K36" s="106"/>
      <c r="L36" s="106"/>
      <c r="M36" s="106"/>
      <c r="N36" s="106">
        <v>1</v>
      </c>
      <c r="O36" s="106" t="s">
        <v>44</v>
      </c>
      <c r="P36" s="65"/>
    </row>
    <row r="37" spans="1:16" ht="400.5" customHeight="1">
      <c r="B37" s="108" t="s">
        <v>163</v>
      </c>
      <c r="C37" s="65" t="s">
        <v>155</v>
      </c>
      <c r="D37" s="65" t="s">
        <v>164</v>
      </c>
      <c r="E37" s="65" t="s">
        <v>165</v>
      </c>
      <c r="F37" s="108" t="s">
        <v>166</v>
      </c>
      <c r="G37" s="65" t="s">
        <v>159</v>
      </c>
      <c r="H37" s="65" t="s">
        <v>167</v>
      </c>
      <c r="I37" s="65" t="s">
        <v>168</v>
      </c>
      <c r="J37" s="65" t="s">
        <v>169</v>
      </c>
      <c r="K37" s="106"/>
      <c r="L37" s="106"/>
      <c r="M37" s="106"/>
      <c r="N37" s="106">
        <v>1</v>
      </c>
      <c r="O37" s="106" t="s">
        <v>44</v>
      </c>
      <c r="P37" s="65"/>
    </row>
    <row r="38" spans="1:16" ht="153.75" customHeight="1">
      <c r="B38" s="108" t="s">
        <v>170</v>
      </c>
      <c r="C38" s="65" t="s">
        <v>155</v>
      </c>
      <c r="D38" s="65" t="s">
        <v>171</v>
      </c>
      <c r="E38" s="65" t="s">
        <v>172</v>
      </c>
      <c r="F38" s="108" t="s">
        <v>173</v>
      </c>
      <c r="G38" s="65" t="s">
        <v>159</v>
      </c>
      <c r="H38" s="65" t="s">
        <v>174</v>
      </c>
      <c r="I38" s="65" t="s">
        <v>175</v>
      </c>
      <c r="J38" s="65" t="s">
        <v>176</v>
      </c>
      <c r="K38" s="106"/>
      <c r="L38" s="106"/>
      <c r="M38" s="106"/>
      <c r="N38" s="106">
        <v>1</v>
      </c>
      <c r="O38" s="106" t="s">
        <v>44</v>
      </c>
      <c r="P38" s="65"/>
    </row>
    <row r="39" spans="1:16" ht="220.5" customHeight="1">
      <c r="B39" s="65"/>
      <c r="C39" s="65"/>
      <c r="D39" s="65"/>
      <c r="E39" s="65"/>
      <c r="F39" s="108" t="s">
        <v>177</v>
      </c>
      <c r="G39" s="65" t="s">
        <v>159</v>
      </c>
      <c r="H39" s="65" t="s">
        <v>178</v>
      </c>
      <c r="I39" s="65" t="s">
        <v>179</v>
      </c>
      <c r="J39" s="65" t="s">
        <v>180</v>
      </c>
      <c r="K39" s="106"/>
      <c r="L39" s="106"/>
      <c r="M39" s="106" t="s">
        <v>181</v>
      </c>
      <c r="N39" s="106">
        <v>4</v>
      </c>
      <c r="O39" s="106" t="s">
        <v>44</v>
      </c>
      <c r="P39" s="65"/>
    </row>
    <row r="40" spans="1:16" ht="383.25" customHeight="1">
      <c r="B40" s="109" t="s">
        <v>182</v>
      </c>
      <c r="C40" s="65" t="s">
        <v>155</v>
      </c>
      <c r="D40" s="65" t="s">
        <v>171</v>
      </c>
      <c r="E40" s="65" t="s">
        <v>172</v>
      </c>
      <c r="F40" s="108" t="s">
        <v>183</v>
      </c>
      <c r="G40" s="65" t="s">
        <v>159</v>
      </c>
      <c r="H40" s="107" t="s">
        <v>184</v>
      </c>
      <c r="I40" s="65" t="s">
        <v>185</v>
      </c>
      <c r="J40" s="65" t="s">
        <v>186</v>
      </c>
      <c r="K40" s="106"/>
      <c r="L40" s="106"/>
      <c r="M40" s="106"/>
      <c r="N40" s="106">
        <v>1</v>
      </c>
      <c r="O40" s="106" t="s">
        <v>44</v>
      </c>
      <c r="P40" s="65"/>
    </row>
    <row r="41" spans="1:16" ht="204.75" customHeight="1">
      <c r="B41" s="121" t="s">
        <v>187</v>
      </c>
      <c r="C41" s="93" t="s">
        <v>155</v>
      </c>
      <c r="D41" s="65" t="s">
        <v>188</v>
      </c>
      <c r="E41" s="65" t="s">
        <v>189</v>
      </c>
      <c r="F41" s="108" t="s">
        <v>190</v>
      </c>
      <c r="G41" s="65" t="s">
        <v>159</v>
      </c>
      <c r="H41" s="65" t="s">
        <v>191</v>
      </c>
      <c r="I41" s="65" t="s">
        <v>192</v>
      </c>
      <c r="J41" s="65" t="s">
        <v>193</v>
      </c>
      <c r="K41" s="106"/>
      <c r="L41" s="106"/>
      <c r="M41" s="106"/>
      <c r="N41" s="106">
        <v>1</v>
      </c>
      <c r="O41" s="106" t="s">
        <v>44</v>
      </c>
      <c r="P41" s="65"/>
    </row>
    <row r="42" spans="1:16" ht="186.75" customHeight="1">
      <c r="B42" s="110"/>
      <c r="C42" s="93"/>
      <c r="D42" s="65"/>
      <c r="E42" s="65"/>
      <c r="F42" s="108" t="s">
        <v>194</v>
      </c>
      <c r="G42" s="65" t="s">
        <v>159</v>
      </c>
      <c r="H42" s="65" t="s">
        <v>195</v>
      </c>
      <c r="I42" s="65" t="s">
        <v>196</v>
      </c>
      <c r="J42" s="65" t="s">
        <v>197</v>
      </c>
      <c r="K42" s="106"/>
      <c r="L42" s="106"/>
      <c r="M42" s="106" t="s">
        <v>198</v>
      </c>
      <c r="N42" s="106">
        <v>1</v>
      </c>
      <c r="O42" s="106" t="s">
        <v>44</v>
      </c>
      <c r="P42" s="65"/>
    </row>
    <row r="43" spans="1:16" ht="249" customHeight="1">
      <c r="B43" s="111" t="s">
        <v>199</v>
      </c>
      <c r="C43" s="93" t="s">
        <v>155</v>
      </c>
      <c r="D43" s="65" t="s">
        <v>200</v>
      </c>
      <c r="E43" s="65" t="s">
        <v>201</v>
      </c>
      <c r="F43" s="108" t="s">
        <v>202</v>
      </c>
      <c r="G43" s="65" t="s">
        <v>159</v>
      </c>
      <c r="H43" s="65" t="s">
        <v>203</v>
      </c>
      <c r="I43" s="65" t="s">
        <v>204</v>
      </c>
      <c r="J43" s="65" t="s">
        <v>205</v>
      </c>
      <c r="K43" s="106"/>
      <c r="L43" s="106"/>
      <c r="M43" s="106"/>
      <c r="N43" s="106">
        <v>2</v>
      </c>
      <c r="O43" s="106" t="s">
        <v>44</v>
      </c>
      <c r="P43" s="65"/>
    </row>
    <row r="44" spans="1:16" ht="238.5" customHeight="1">
      <c r="B44" s="65"/>
      <c r="C44" s="65"/>
      <c r="D44" s="65"/>
      <c r="E44" s="65"/>
      <c r="F44" s="108" t="s">
        <v>206</v>
      </c>
      <c r="G44" s="65" t="s">
        <v>159</v>
      </c>
      <c r="H44" s="65" t="s">
        <v>207</v>
      </c>
      <c r="I44" s="65" t="s">
        <v>208</v>
      </c>
      <c r="J44" s="65" t="s">
        <v>209</v>
      </c>
      <c r="K44" s="106"/>
      <c r="L44" s="106"/>
      <c r="M44" s="106"/>
      <c r="N44" s="106">
        <v>2</v>
      </c>
      <c r="O44" s="106" t="s">
        <v>44</v>
      </c>
      <c r="P44" s="106"/>
    </row>
    <row r="45" spans="1:16" ht="165" customHeight="1">
      <c r="A45" s="6" t="s">
        <v>210</v>
      </c>
      <c r="B45" s="65" t="s">
        <v>211</v>
      </c>
      <c r="C45" s="93" t="s">
        <v>155</v>
      </c>
      <c r="D45" s="89" t="s">
        <v>212</v>
      </c>
      <c r="E45" s="65" t="s">
        <v>213</v>
      </c>
      <c r="F45" s="108" t="s">
        <v>214</v>
      </c>
      <c r="G45" s="65" t="s">
        <v>159</v>
      </c>
      <c r="H45" s="65" t="s">
        <v>215</v>
      </c>
      <c r="I45" s="65" t="s">
        <v>216</v>
      </c>
      <c r="J45" s="65" t="s">
        <v>217</v>
      </c>
      <c r="K45" s="106"/>
      <c r="L45" s="106"/>
      <c r="M45" s="106"/>
      <c r="N45" s="106">
        <v>1</v>
      </c>
      <c r="O45" s="106" t="s">
        <v>44</v>
      </c>
      <c r="P45" s="65"/>
    </row>
    <row r="46" spans="1:16" ht="185.25" customHeight="1">
      <c r="B46" s="65"/>
      <c r="C46" s="65"/>
      <c r="D46" s="65"/>
      <c r="E46" s="65"/>
      <c r="F46" s="108" t="s">
        <v>218</v>
      </c>
      <c r="G46" s="65" t="s">
        <v>159</v>
      </c>
      <c r="H46" s="65" t="s">
        <v>219</v>
      </c>
      <c r="I46" s="65" t="s">
        <v>220</v>
      </c>
      <c r="J46" s="65" t="s">
        <v>221</v>
      </c>
      <c r="K46" s="106"/>
      <c r="L46" s="106"/>
      <c r="M46" s="106"/>
      <c r="N46" s="106">
        <v>2</v>
      </c>
      <c r="O46" s="106" t="s">
        <v>44</v>
      </c>
      <c r="P46" s="65"/>
    </row>
    <row r="47" spans="1:16" ht="116.25" customHeight="1">
      <c r="B47" s="108" t="s">
        <v>222</v>
      </c>
      <c r="C47" s="65" t="s">
        <v>155</v>
      </c>
      <c r="D47" s="65" t="s">
        <v>223</v>
      </c>
      <c r="E47" s="65" t="s">
        <v>224</v>
      </c>
      <c r="F47" s="108" t="s">
        <v>225</v>
      </c>
      <c r="G47" s="65" t="s">
        <v>159</v>
      </c>
      <c r="H47" s="65" t="s">
        <v>226</v>
      </c>
      <c r="I47" s="65" t="s">
        <v>227</v>
      </c>
      <c r="J47" s="65" t="s">
        <v>228</v>
      </c>
      <c r="K47" s="106"/>
      <c r="L47" s="106"/>
      <c r="M47" s="106"/>
      <c r="N47" s="106">
        <v>2</v>
      </c>
      <c r="O47" s="106" t="s">
        <v>44</v>
      </c>
      <c r="P47" s="65"/>
    </row>
    <row r="48" spans="1:16" ht="138">
      <c r="B48" s="65"/>
      <c r="C48" s="65"/>
      <c r="D48" s="65"/>
      <c r="E48" s="65"/>
      <c r="F48" s="108" t="s">
        <v>229</v>
      </c>
      <c r="G48" s="65" t="s">
        <v>159</v>
      </c>
      <c r="H48" s="65" t="s">
        <v>230</v>
      </c>
      <c r="I48" s="112" t="s">
        <v>231</v>
      </c>
      <c r="J48" s="65" t="s">
        <v>232</v>
      </c>
      <c r="K48" s="106"/>
      <c r="L48" s="106"/>
      <c r="M48" s="106" t="s">
        <v>233</v>
      </c>
      <c r="N48" s="106">
        <v>2</v>
      </c>
      <c r="O48" s="106" t="s">
        <v>44</v>
      </c>
      <c r="P48" s="65"/>
    </row>
    <row r="49" spans="2:16" ht="153">
      <c r="B49" s="65"/>
      <c r="C49" s="65"/>
      <c r="D49" s="65"/>
      <c r="E49" s="65"/>
      <c r="F49" s="108" t="s">
        <v>234</v>
      </c>
      <c r="G49" s="65" t="s">
        <v>159</v>
      </c>
      <c r="H49" s="107" t="s">
        <v>235</v>
      </c>
      <c r="I49" s="113" t="s">
        <v>236</v>
      </c>
      <c r="J49" s="93" t="s">
        <v>237</v>
      </c>
      <c r="K49" s="106"/>
      <c r="L49" s="106"/>
      <c r="M49" s="106" t="s">
        <v>238</v>
      </c>
      <c r="N49" s="106">
        <v>2</v>
      </c>
      <c r="O49" s="106" t="s">
        <v>44</v>
      </c>
      <c r="P49" s="65"/>
    </row>
    <row r="50" spans="2:16" ht="167.25" customHeight="1">
      <c r="B50" s="108" t="s">
        <v>239</v>
      </c>
      <c r="C50" s="65" t="s">
        <v>155</v>
      </c>
      <c r="D50" s="65" t="s">
        <v>240</v>
      </c>
      <c r="E50" s="65" t="s">
        <v>241</v>
      </c>
      <c r="F50" s="108" t="s">
        <v>242</v>
      </c>
      <c r="G50" s="65" t="s">
        <v>159</v>
      </c>
      <c r="H50" s="65" t="s">
        <v>243</v>
      </c>
      <c r="I50" s="107" t="s">
        <v>244</v>
      </c>
      <c r="J50" s="65" t="s">
        <v>245</v>
      </c>
      <c r="K50" s="106"/>
      <c r="L50" s="106"/>
      <c r="M50" s="106"/>
      <c r="N50" s="106">
        <v>3</v>
      </c>
      <c r="O50" s="106" t="s">
        <v>44</v>
      </c>
      <c r="P50" s="65"/>
    </row>
    <row r="51" spans="2:16" ht="215.25">
      <c r="B51" s="65"/>
      <c r="C51" s="65"/>
      <c r="D51" s="65"/>
      <c r="E51" s="65"/>
      <c r="F51" s="108" t="s">
        <v>246</v>
      </c>
      <c r="G51" s="65" t="s">
        <v>159</v>
      </c>
      <c r="H51" s="65" t="s">
        <v>247</v>
      </c>
      <c r="I51" s="65" t="s">
        <v>248</v>
      </c>
      <c r="J51" s="65" t="s">
        <v>249</v>
      </c>
      <c r="K51" s="106"/>
      <c r="L51" s="106"/>
      <c r="M51" s="106"/>
      <c r="N51" s="106">
        <v>3</v>
      </c>
      <c r="O51" s="106" t="s">
        <v>44</v>
      </c>
      <c r="P51" s="65"/>
    </row>
    <row r="52" spans="2:16" ht="245.25">
      <c r="B52" s="108" t="s">
        <v>250</v>
      </c>
      <c r="C52" s="65" t="s">
        <v>155</v>
      </c>
      <c r="D52" s="65" t="s">
        <v>251</v>
      </c>
      <c r="E52" s="65" t="s">
        <v>252</v>
      </c>
      <c r="F52" s="108" t="s">
        <v>253</v>
      </c>
      <c r="G52" s="65" t="s">
        <v>159</v>
      </c>
      <c r="H52" s="65" t="s">
        <v>254</v>
      </c>
      <c r="I52" s="65" t="s">
        <v>255</v>
      </c>
      <c r="J52" s="65" t="s">
        <v>256</v>
      </c>
      <c r="K52" s="106"/>
      <c r="L52" s="106"/>
      <c r="M52" s="106"/>
      <c r="N52" s="106">
        <v>3</v>
      </c>
      <c r="O52" s="106" t="s">
        <v>44</v>
      </c>
      <c r="P52" s="65"/>
    </row>
    <row r="53" spans="2:16" ht="245.25">
      <c r="B53" s="65"/>
      <c r="C53" s="65"/>
      <c r="D53" s="65"/>
      <c r="E53" s="65"/>
      <c r="F53" s="108" t="s">
        <v>257</v>
      </c>
      <c r="G53" s="65" t="s">
        <v>159</v>
      </c>
      <c r="H53" s="65" t="s">
        <v>258</v>
      </c>
      <c r="I53" s="65" t="s">
        <v>259</v>
      </c>
      <c r="J53" s="65" t="s">
        <v>260</v>
      </c>
      <c r="K53" s="106"/>
      <c r="L53" s="106"/>
      <c r="M53" s="106" t="s">
        <v>261</v>
      </c>
      <c r="N53" s="106">
        <v>3</v>
      </c>
      <c r="O53" s="106" t="s">
        <v>44</v>
      </c>
      <c r="P53" s="65"/>
    </row>
    <row r="54" spans="2:16" ht="230.25">
      <c r="B54" s="108" t="s">
        <v>262</v>
      </c>
      <c r="C54" s="65" t="s">
        <v>155</v>
      </c>
      <c r="D54" s="65" t="s">
        <v>263</v>
      </c>
      <c r="E54" s="65" t="s">
        <v>264</v>
      </c>
      <c r="F54" s="108" t="s">
        <v>265</v>
      </c>
      <c r="G54" s="65" t="s">
        <v>159</v>
      </c>
      <c r="H54" s="65" t="s">
        <v>266</v>
      </c>
      <c r="I54" s="65" t="s">
        <v>267</v>
      </c>
      <c r="J54" s="65" t="s">
        <v>268</v>
      </c>
      <c r="K54" s="106"/>
      <c r="L54" s="106"/>
      <c r="M54" s="106"/>
      <c r="N54" s="106">
        <v>4</v>
      </c>
      <c r="O54" s="106" t="s">
        <v>44</v>
      </c>
      <c r="P54" s="65"/>
    </row>
    <row r="55" spans="2:16" ht="291.75">
      <c r="B55" s="108" t="s">
        <v>269</v>
      </c>
      <c r="C55" s="65" t="s">
        <v>155</v>
      </c>
      <c r="D55" s="65" t="s">
        <v>270</v>
      </c>
      <c r="E55" s="89" t="s">
        <v>271</v>
      </c>
      <c r="F55" s="108" t="s">
        <v>272</v>
      </c>
      <c r="G55" s="65" t="s">
        <v>159</v>
      </c>
      <c r="H55" s="65" t="s">
        <v>273</v>
      </c>
      <c r="I55" s="65" t="s">
        <v>274</v>
      </c>
      <c r="J55" s="65" t="s">
        <v>275</v>
      </c>
      <c r="K55" s="106"/>
      <c r="L55" s="106"/>
      <c r="M55" s="106"/>
      <c r="N55" s="106">
        <v>4</v>
      </c>
      <c r="O55" s="106" t="s">
        <v>44</v>
      </c>
      <c r="P55" s="65"/>
    </row>
    <row r="56" spans="2:16" ht="261">
      <c r="B56" s="108" t="s">
        <v>276</v>
      </c>
      <c r="C56" s="65" t="s">
        <v>155</v>
      </c>
      <c r="D56" s="65" t="s">
        <v>277</v>
      </c>
      <c r="E56" s="65" t="s">
        <v>278</v>
      </c>
      <c r="F56" s="108" t="s">
        <v>279</v>
      </c>
      <c r="G56" s="65" t="s">
        <v>159</v>
      </c>
      <c r="H56" s="65" t="s">
        <v>280</v>
      </c>
      <c r="I56" s="65" t="s">
        <v>281</v>
      </c>
      <c r="J56" s="65" t="s">
        <v>282</v>
      </c>
      <c r="K56" s="106"/>
      <c r="L56" s="106"/>
      <c r="M56" s="106"/>
      <c r="N56" s="106">
        <v>4</v>
      </c>
      <c r="O56" s="106" t="s">
        <v>44</v>
      </c>
      <c r="P56" s="65"/>
    </row>
    <row r="57" spans="2:16" ht="165" customHeight="1">
      <c r="B57" s="108"/>
      <c r="C57" s="65"/>
      <c r="D57" s="65"/>
      <c r="E57" s="65"/>
      <c r="F57" s="108" t="s">
        <v>283</v>
      </c>
      <c r="G57" s="65" t="s">
        <v>159</v>
      </c>
      <c r="H57" s="65" t="s">
        <v>284</v>
      </c>
      <c r="I57" s="65" t="s">
        <v>285</v>
      </c>
      <c r="J57" s="65" t="s">
        <v>286</v>
      </c>
      <c r="K57" s="106"/>
      <c r="L57" s="106"/>
      <c r="M57" s="106"/>
      <c r="N57" s="106">
        <v>4</v>
      </c>
      <c r="O57" s="106" t="s">
        <v>44</v>
      </c>
      <c r="P57" s="65"/>
    </row>
    <row r="58" spans="2:16">
      <c r="B58" s="29"/>
      <c r="C58" s="29"/>
      <c r="D58" s="29"/>
      <c r="E58" s="29"/>
      <c r="F58" s="105"/>
      <c r="G58" s="29"/>
      <c r="H58" s="29"/>
      <c r="I58" s="29"/>
      <c r="J58" s="8"/>
      <c r="K58" s="199"/>
      <c r="L58" s="199"/>
      <c r="M58" s="199"/>
      <c r="N58" s="199"/>
      <c r="O58" s="199"/>
      <c r="P58" s="8"/>
    </row>
    <row r="59" spans="2:16">
      <c r="B59" s="29"/>
      <c r="C59" s="29"/>
      <c r="D59" s="29"/>
      <c r="E59" s="29"/>
      <c r="F59" s="105"/>
      <c r="G59" s="29"/>
      <c r="H59" s="29"/>
      <c r="I59" s="29"/>
      <c r="J59" s="29"/>
      <c r="K59" s="29"/>
      <c r="L59" s="29"/>
      <c r="M59" s="29"/>
      <c r="N59" s="29"/>
      <c r="O59" s="29"/>
      <c r="P59" s="29"/>
    </row>
    <row r="60" spans="2:16">
      <c r="B60" s="29"/>
      <c r="C60" s="29"/>
      <c r="D60" s="29"/>
      <c r="E60" s="29"/>
      <c r="F60" s="105"/>
      <c r="G60" s="29"/>
      <c r="H60" s="29"/>
      <c r="I60" s="29"/>
      <c r="J60" s="29"/>
      <c r="K60" s="29"/>
      <c r="L60" s="29"/>
      <c r="M60" s="29"/>
      <c r="N60" s="29"/>
      <c r="O60" s="29"/>
      <c r="P60" s="29"/>
    </row>
    <row r="61" spans="2:16">
      <c r="B61" s="29"/>
      <c r="C61" s="29"/>
      <c r="D61" s="29"/>
      <c r="E61" s="29"/>
      <c r="F61" s="105"/>
      <c r="G61" s="29"/>
      <c r="H61" s="29"/>
      <c r="I61" s="29"/>
      <c r="J61" s="29"/>
      <c r="K61" s="29"/>
      <c r="L61" s="29"/>
      <c r="M61" s="29"/>
      <c r="N61" s="29"/>
      <c r="O61" s="29"/>
      <c r="P61" s="29"/>
    </row>
    <row r="62" spans="2:16">
      <c r="B62" s="29"/>
      <c r="C62" s="29"/>
      <c r="D62" s="29"/>
      <c r="E62" s="29"/>
      <c r="F62" s="105"/>
      <c r="G62" s="29"/>
      <c r="H62" s="29"/>
      <c r="I62" s="29"/>
      <c r="J62" s="29"/>
      <c r="K62" s="29"/>
      <c r="L62" s="29"/>
      <c r="M62" s="29"/>
      <c r="N62" s="29"/>
      <c r="O62" s="29"/>
      <c r="P62" s="29"/>
    </row>
    <row r="63" spans="2:16">
      <c r="B63" s="29"/>
      <c r="C63" s="29"/>
      <c r="D63" s="29"/>
      <c r="E63" s="29"/>
      <c r="F63" s="105"/>
      <c r="G63" s="29"/>
      <c r="H63" s="29"/>
      <c r="I63" s="29"/>
      <c r="J63" s="29"/>
      <c r="K63" s="29"/>
      <c r="L63" s="29"/>
      <c r="M63" s="29"/>
      <c r="N63" s="29"/>
      <c r="O63" s="29"/>
      <c r="P63" s="29"/>
    </row>
    <row r="64" spans="2:16">
      <c r="B64" s="29"/>
      <c r="C64" s="29"/>
      <c r="D64" s="29"/>
      <c r="E64" s="29"/>
      <c r="F64" s="105"/>
      <c r="G64" s="29"/>
      <c r="H64" s="29"/>
      <c r="I64" s="29"/>
      <c r="J64" s="29"/>
      <c r="K64" s="29"/>
      <c r="L64" s="29"/>
      <c r="M64" s="29"/>
      <c r="N64" s="29"/>
      <c r="O64" s="29"/>
      <c r="P64" s="29"/>
    </row>
    <row r="65" spans="2:16">
      <c r="B65" s="29"/>
      <c r="C65" s="29"/>
      <c r="D65" s="29"/>
      <c r="E65" s="29"/>
      <c r="F65" s="105"/>
      <c r="G65" s="29"/>
      <c r="H65" s="29"/>
      <c r="I65" s="29"/>
      <c r="J65" s="29"/>
      <c r="K65" s="29"/>
      <c r="L65" s="29"/>
      <c r="M65" s="29"/>
      <c r="N65" s="29"/>
      <c r="O65" s="29"/>
      <c r="P65" s="29"/>
    </row>
    <row r="66" spans="2:16">
      <c r="B66" s="29"/>
      <c r="C66" s="29"/>
      <c r="D66" s="29"/>
      <c r="E66" s="29"/>
      <c r="F66" s="105"/>
      <c r="G66" s="29"/>
      <c r="H66" s="29"/>
      <c r="I66" s="29"/>
      <c r="J66" s="29"/>
      <c r="K66" s="29"/>
      <c r="L66" s="29"/>
      <c r="M66" s="29"/>
      <c r="N66" s="29"/>
      <c r="O66" s="29"/>
      <c r="P66" s="29"/>
    </row>
    <row r="67" spans="2:16">
      <c r="B67" s="29"/>
      <c r="C67" s="29"/>
      <c r="D67" s="29"/>
      <c r="E67" s="29"/>
      <c r="F67" s="105"/>
      <c r="G67" s="29"/>
      <c r="H67" s="29"/>
      <c r="I67" s="29"/>
      <c r="J67" s="29"/>
      <c r="K67" s="29"/>
      <c r="L67" s="29"/>
      <c r="M67" s="29"/>
      <c r="N67" s="29"/>
      <c r="O67" s="29"/>
      <c r="P67" s="29"/>
    </row>
    <row r="68" spans="2:16">
      <c r="B68" s="29"/>
      <c r="C68" s="29"/>
      <c r="D68" s="29"/>
      <c r="E68" s="29"/>
      <c r="F68" s="105"/>
      <c r="G68" s="29"/>
      <c r="H68" s="29"/>
      <c r="I68" s="29"/>
      <c r="J68" s="29"/>
      <c r="K68" s="29"/>
      <c r="L68" s="29"/>
      <c r="M68" s="29"/>
      <c r="N68" s="29"/>
      <c r="O68" s="29"/>
      <c r="P68" s="29"/>
    </row>
    <row r="69" spans="2:16">
      <c r="B69" s="29"/>
      <c r="C69" s="29"/>
      <c r="D69" s="29"/>
      <c r="E69" s="29"/>
      <c r="F69" s="105"/>
      <c r="G69" s="29"/>
      <c r="H69" s="29"/>
      <c r="I69" s="29"/>
      <c r="J69" s="29"/>
      <c r="K69" s="29"/>
      <c r="L69" s="29"/>
      <c r="M69" s="29"/>
      <c r="N69" s="29"/>
      <c r="O69" s="29"/>
      <c r="P69" s="29"/>
    </row>
    <row r="77" spans="2:16">
      <c r="P77" s="7"/>
    </row>
    <row r="88" spans="2:15">
      <c r="B88" s="6"/>
      <c r="C88" s="6"/>
      <c r="D88" s="6"/>
      <c r="E88" s="6"/>
      <c r="F88" s="119"/>
      <c r="G88" s="6"/>
      <c r="H88" s="6"/>
      <c r="I88" s="6"/>
      <c r="J88" s="6"/>
      <c r="K88" s="6"/>
      <c r="L88" s="6"/>
      <c r="M88" s="6"/>
      <c r="N88" s="6"/>
      <c r="O88" s="6"/>
    </row>
  </sheetData>
  <mergeCells count="15">
    <mergeCell ref="B2:C5"/>
    <mergeCell ref="D2:I2"/>
    <mergeCell ref="D3:D5"/>
    <mergeCell ref="E6:I6"/>
    <mergeCell ref="E3:F5"/>
    <mergeCell ref="G3:G4"/>
    <mergeCell ref="H3:H5"/>
    <mergeCell ref="I3:I5"/>
    <mergeCell ref="B13:E13"/>
    <mergeCell ref="F13:I13"/>
    <mergeCell ref="J13:P13"/>
    <mergeCell ref="B10:C10"/>
    <mergeCell ref="B11:C11"/>
    <mergeCell ref="D10:E10"/>
    <mergeCell ref="D11:E11"/>
  </mergeCells>
  <phoneticPr fontId="3" type="noConversion"/>
  <conditionalFormatting sqref="B15 F15:F16 B16:G16 K15:P15 J16:L16 N16:P16 B17:P17 F18 H18:P18 B18:C19 B19:D19 F19:P19 B20:F20 J20:P20 F21:P21 B21:B22 D22:P22 B23:P26 J27:P27 B27:G27 B28:P39 B40:G40 I40:P40 C41:P41 B45:C45 B42:P44 E45:P45 B46:P48 B49:G49 B50:H50 J49:P50 B51:P54 B55:D55 F55:P55 B56:P133">
    <cfRule type="expression" dxfId="27" priority="35" stopIfTrue="1">
      <formula>$O15="En Progreso"</formula>
    </cfRule>
    <cfRule type="expression" dxfId="26" priority="36" stopIfTrue="1">
      <formula>$O15="Eliminado"</formula>
    </cfRule>
  </conditionalFormatting>
  <conditionalFormatting sqref="B15 F15:F16 B16:G16 K15:P15 J16:L16 N16:P16 B17:P17 F18 H18:P18 B18:C19 B19:D19 F19:P19 B20:F20 J20:P20 F21:P21 B21:B22 D22:P22 B23:P26 J27:P27 B27:G27 B28:P39 B40:G40 I40:P40 C41:P41 B45:C45 B42:P44 E45:P45 B46:P48 B49:G49 B50:H50 J49:P50 B51:P54 B55:D55 F55:P55 B56:P133">
    <cfRule type="expression" dxfId="25" priority="34" stopIfTrue="1">
      <formula>$O15="Terminado"</formula>
    </cfRule>
  </conditionalFormatting>
  <conditionalFormatting sqref="P32">
    <cfRule type="expression" dxfId="24" priority="31" stopIfTrue="1">
      <formula>#REF!="Done"</formula>
    </cfRule>
    <cfRule type="expression" dxfId="23" priority="32" stopIfTrue="1">
      <formula>#REF!="Ongoing"</formula>
    </cfRule>
    <cfRule type="expression" dxfId="22" priority="33" stopIfTrue="1">
      <formula>#REF!="Removed"</formula>
    </cfRule>
  </conditionalFormatting>
  <conditionalFormatting sqref="P77:P78">
    <cfRule type="expression" dxfId="21" priority="28" stopIfTrue="1">
      <formula>#REF!="Done"</formula>
    </cfRule>
    <cfRule type="expression" dxfId="20" priority="29" stopIfTrue="1">
      <formula>#REF!="Ongoing"</formula>
    </cfRule>
    <cfRule type="expression" dxfId="19" priority="30" stopIfTrue="1">
      <formula>#REF!="Removed"</formula>
    </cfRule>
  </conditionalFormatting>
  <conditionalFormatting sqref="P88">
    <cfRule type="expression" dxfId="18" priority="76" stopIfTrue="1">
      <formula>$O78="Done"</formula>
    </cfRule>
    <cfRule type="expression" dxfId="17" priority="77" stopIfTrue="1">
      <formula>$O78="Ongoing"</formula>
    </cfRule>
    <cfRule type="expression" dxfId="16" priority="78" stopIfTrue="1">
      <formula>$O78="Removed"</formula>
    </cfRule>
  </conditionalFormatting>
  <conditionalFormatting sqref="R9">
    <cfRule type="expression" dxfId="15" priority="85" stopIfTrue="1">
      <formula>$O17="Done"</formula>
    </cfRule>
    <cfRule type="expression" dxfId="14" priority="86" stopIfTrue="1">
      <formula>$O17="In Progress"</formula>
    </cfRule>
    <cfRule type="expression" dxfId="13" priority="87" stopIfTrue="1">
      <formula>$O17="Removed"</formula>
    </cfRule>
  </conditionalFormatting>
  <conditionalFormatting sqref="R11">
    <cfRule type="expression" dxfId="12" priority="82" stopIfTrue="1">
      <formula>$O19="Done"</formula>
    </cfRule>
    <cfRule type="expression" dxfId="11" priority="83" stopIfTrue="1">
      <formula>$O19="In Progress"</formula>
    </cfRule>
    <cfRule type="expression" dxfId="10" priority="84" stopIfTrue="1">
      <formula>$O19="Removed"</formula>
    </cfRule>
  </conditionalFormatting>
  <conditionalFormatting sqref="M16">
    <cfRule type="expression" dxfId="9" priority="1" stopIfTrue="1">
      <formula>$O24="Done"</formula>
    </cfRule>
    <cfRule type="expression" dxfId="8" priority="2" stopIfTrue="1">
      <formula>$O24="In Progress"</formula>
    </cfRule>
    <cfRule type="expression" dxfId="7" priority="3" stopIfTrue="1">
      <formula>$O24="Removed"</formula>
    </cfRule>
  </conditionalFormatting>
  <dataValidations count="2">
    <dataValidation type="list" allowBlank="1" showInputMessage="1" sqref="O89:O198 O70:O87 P44 O14:O58" xr:uid="{00000000-0002-0000-0000-000000000000}">
      <formula1>"Por Hacer,En Progreso,Terminado,Eliminado"</formula1>
    </dataValidation>
    <dataValidation type="list" allowBlank="1" showInputMessage="1" showErrorMessage="1" sqref="K15:K58" xr:uid="{00000000-0002-0000-0000-000001000000}">
      <formula1>"1,2,3,4,5,6,7,8,9,10"</formula1>
    </dataValidation>
  </dataValidations>
  <pageMargins left="0.75" right="0.75" top="1" bottom="1" header="0.5" footer="0.5"/>
  <pageSetup paperSize="9" scale="84"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9DF5A-4F27-41A0-9B4E-61BE3E7CF5CF}">
  <sheetPr>
    <outlinePr summaryBelow="0" summaryRight="0"/>
  </sheetPr>
  <dimension ref="A2:Z988"/>
  <sheetViews>
    <sheetView zoomScale="80" zoomScaleNormal="80" workbookViewId="0">
      <pane ySplit="2" topLeftCell="A49" activePane="bottomLeft" state="frozen"/>
      <selection pane="bottomLeft" activeCell="G106" sqref="G106"/>
    </sheetView>
  </sheetViews>
  <sheetFormatPr defaultColWidth="14.42578125" defaultRowHeight="15" customHeight="1"/>
  <cols>
    <col min="1" max="1" width="18.5703125" style="31" customWidth="1"/>
    <col min="2" max="2" width="22.5703125" style="31" customWidth="1"/>
    <col min="3" max="3" width="23.28515625" style="31" customWidth="1"/>
    <col min="4" max="5" width="16" style="31" customWidth="1"/>
    <col min="6" max="6" width="13.28515625" style="31" customWidth="1"/>
    <col min="7" max="7" width="11.7109375" style="31" customWidth="1"/>
    <col min="8" max="8" width="6" style="31" customWidth="1"/>
    <col min="9" max="9" width="6.5703125" style="31" customWidth="1"/>
    <col min="10" max="10" width="51.7109375" style="31" customWidth="1"/>
    <col min="11" max="11" width="5" style="31" customWidth="1"/>
    <col min="12" max="12" width="13.28515625" style="31" customWidth="1"/>
    <col min="13" max="13" width="28.42578125" style="31" customWidth="1"/>
    <col min="14" max="16384" width="14.42578125" style="31"/>
  </cols>
  <sheetData>
    <row r="2" spans="1:15" ht="45.75">
      <c r="A2" s="30" t="s">
        <v>287</v>
      </c>
      <c r="B2" s="30" t="s">
        <v>288</v>
      </c>
      <c r="C2" s="166" t="s">
        <v>289</v>
      </c>
      <c r="D2" s="166" t="s">
        <v>290</v>
      </c>
      <c r="E2" s="166" t="s">
        <v>291</v>
      </c>
      <c r="F2" s="166" t="s">
        <v>292</v>
      </c>
      <c r="G2" s="166" t="s">
        <v>293</v>
      </c>
      <c r="H2" s="167" t="s">
        <v>294</v>
      </c>
      <c r="I2" s="166" t="s">
        <v>295</v>
      </c>
      <c r="J2" s="166" t="s">
        <v>296</v>
      </c>
      <c r="K2" s="166" t="s">
        <v>297</v>
      </c>
      <c r="L2" s="168" t="s">
        <v>298</v>
      </c>
    </row>
    <row r="3" spans="1:15" ht="54.75" customHeight="1">
      <c r="A3" s="155">
        <v>1</v>
      </c>
      <c r="B3" s="169" t="s">
        <v>299</v>
      </c>
      <c r="C3" s="170" t="s">
        <v>300</v>
      </c>
      <c r="D3" s="32" t="s">
        <v>301</v>
      </c>
      <c r="E3" s="32" t="s">
        <v>302</v>
      </c>
      <c r="F3" s="155" t="s">
        <v>303</v>
      </c>
      <c r="G3" s="32" t="s">
        <v>304</v>
      </c>
      <c r="H3" s="32" t="s">
        <v>305</v>
      </c>
      <c r="I3" s="156">
        <v>0</v>
      </c>
      <c r="J3" s="32" t="s">
        <v>306</v>
      </c>
      <c r="K3" s="32"/>
      <c r="L3" s="155" t="s">
        <v>307</v>
      </c>
    </row>
    <row r="4" spans="1:15" ht="61.5" customHeight="1">
      <c r="A4" s="155" t="s">
        <v>308</v>
      </c>
      <c r="B4" s="32" t="s">
        <v>309</v>
      </c>
      <c r="C4" s="153" t="s">
        <v>310</v>
      </c>
      <c r="D4" s="32" t="s">
        <v>311</v>
      </c>
      <c r="E4" s="32" t="s">
        <v>312</v>
      </c>
      <c r="F4" s="155" t="s">
        <v>313</v>
      </c>
      <c r="G4" s="32" t="s">
        <v>314</v>
      </c>
      <c r="H4" s="32" t="s">
        <v>305</v>
      </c>
      <c r="I4" s="156">
        <v>1</v>
      </c>
      <c r="J4" s="154" t="s">
        <v>315</v>
      </c>
      <c r="K4" s="32" t="s">
        <v>316</v>
      </c>
      <c r="L4" s="155" t="s">
        <v>313</v>
      </c>
    </row>
    <row r="5" spans="1:15" ht="80.25" customHeight="1">
      <c r="A5" s="139" t="s">
        <v>317</v>
      </c>
      <c r="B5" s="157" t="s">
        <v>309</v>
      </c>
      <c r="C5" s="158" t="s">
        <v>318</v>
      </c>
      <c r="D5" s="38" t="s">
        <v>311</v>
      </c>
      <c r="E5" s="38" t="s">
        <v>312</v>
      </c>
      <c r="F5" s="139" t="s">
        <v>313</v>
      </c>
      <c r="G5" s="159" t="s">
        <v>49</v>
      </c>
      <c r="H5" s="38" t="s">
        <v>305</v>
      </c>
      <c r="I5" s="41">
        <v>1</v>
      </c>
      <c r="J5" s="160" t="s">
        <v>319</v>
      </c>
      <c r="K5" s="38" t="s">
        <v>316</v>
      </c>
      <c r="L5" s="139" t="s">
        <v>313</v>
      </c>
    </row>
    <row r="6" spans="1:15" ht="75" customHeight="1">
      <c r="A6" s="139" t="s">
        <v>320</v>
      </c>
      <c r="B6" s="157" t="s">
        <v>309</v>
      </c>
      <c r="C6" s="38" t="s">
        <v>321</v>
      </c>
      <c r="D6" s="38" t="s">
        <v>311</v>
      </c>
      <c r="E6" s="38" t="s">
        <v>312</v>
      </c>
      <c r="F6" s="139" t="s">
        <v>313</v>
      </c>
      <c r="G6" s="38" t="s">
        <v>49</v>
      </c>
      <c r="H6" s="38" t="s">
        <v>305</v>
      </c>
      <c r="I6" s="41">
        <v>1</v>
      </c>
      <c r="J6" s="160" t="s">
        <v>322</v>
      </c>
      <c r="K6" s="38" t="s">
        <v>316</v>
      </c>
      <c r="L6" s="139" t="s">
        <v>313</v>
      </c>
    </row>
    <row r="7" spans="1:15" ht="125.25" customHeight="1">
      <c r="A7" s="139" t="s">
        <v>323</v>
      </c>
      <c r="B7" s="157" t="s">
        <v>309</v>
      </c>
      <c r="C7" s="158" t="s">
        <v>324</v>
      </c>
      <c r="D7" s="38" t="s">
        <v>311</v>
      </c>
      <c r="E7" s="38" t="s">
        <v>312</v>
      </c>
      <c r="F7" s="139" t="s">
        <v>313</v>
      </c>
      <c r="G7" s="38" t="s">
        <v>49</v>
      </c>
      <c r="H7" s="38" t="s">
        <v>325</v>
      </c>
      <c r="I7" s="41">
        <v>1</v>
      </c>
      <c r="J7" s="161" t="s">
        <v>326</v>
      </c>
      <c r="K7" s="38" t="s">
        <v>316</v>
      </c>
      <c r="L7" s="139" t="s">
        <v>313</v>
      </c>
    </row>
    <row r="8" spans="1:15" ht="80.25" customHeight="1">
      <c r="A8" s="139" t="s">
        <v>327</v>
      </c>
      <c r="B8" s="157" t="s">
        <v>328</v>
      </c>
      <c r="C8" s="158" t="s">
        <v>329</v>
      </c>
      <c r="D8" s="38" t="s">
        <v>311</v>
      </c>
      <c r="E8" s="38" t="s">
        <v>312</v>
      </c>
      <c r="F8" s="139" t="s">
        <v>313</v>
      </c>
      <c r="G8" s="37" t="s">
        <v>314</v>
      </c>
      <c r="H8" s="38" t="s">
        <v>325</v>
      </c>
      <c r="I8" s="41">
        <v>1</v>
      </c>
      <c r="J8" s="160" t="s">
        <v>330</v>
      </c>
      <c r="K8" s="38" t="s">
        <v>316</v>
      </c>
      <c r="L8" s="139" t="s">
        <v>313</v>
      </c>
    </row>
    <row r="9" spans="1:15" ht="63" customHeight="1">
      <c r="A9" s="139" t="s">
        <v>331</v>
      </c>
      <c r="B9" s="163" t="s">
        <v>328</v>
      </c>
      <c r="C9" s="162" t="s">
        <v>332</v>
      </c>
      <c r="D9" s="38" t="s">
        <v>311</v>
      </c>
      <c r="E9" s="38" t="s">
        <v>312</v>
      </c>
      <c r="F9" s="139" t="s">
        <v>313</v>
      </c>
      <c r="G9" s="37" t="s">
        <v>327</v>
      </c>
      <c r="H9" s="38" t="s">
        <v>325</v>
      </c>
      <c r="I9" s="41">
        <v>1</v>
      </c>
      <c r="J9" s="160" t="s">
        <v>333</v>
      </c>
      <c r="K9" s="38" t="s">
        <v>316</v>
      </c>
      <c r="L9" s="139" t="s">
        <v>313</v>
      </c>
    </row>
    <row r="10" spans="1:15" ht="58.5" customHeight="1">
      <c r="A10" s="139" t="s">
        <v>334</v>
      </c>
      <c r="B10" s="163" t="s">
        <v>328</v>
      </c>
      <c r="C10" s="38" t="s">
        <v>335</v>
      </c>
      <c r="D10" s="38" t="s">
        <v>311</v>
      </c>
      <c r="E10" s="38" t="s">
        <v>312</v>
      </c>
      <c r="F10" s="139" t="s">
        <v>313</v>
      </c>
      <c r="G10" s="37" t="s">
        <v>331</v>
      </c>
      <c r="H10" s="38" t="s">
        <v>325</v>
      </c>
      <c r="I10" s="41">
        <v>1</v>
      </c>
      <c r="J10" s="160" t="s">
        <v>336</v>
      </c>
      <c r="K10" s="38" t="s">
        <v>316</v>
      </c>
      <c r="L10" s="139" t="s">
        <v>313</v>
      </c>
    </row>
    <row r="11" spans="1:15" ht="45.75" customHeight="1">
      <c r="A11" s="139" t="s">
        <v>337</v>
      </c>
      <c r="B11" s="163" t="s">
        <v>328</v>
      </c>
      <c r="C11" s="158" t="s">
        <v>338</v>
      </c>
      <c r="D11" s="38" t="s">
        <v>311</v>
      </c>
      <c r="E11" s="38" t="s">
        <v>312</v>
      </c>
      <c r="F11" s="139" t="s">
        <v>313</v>
      </c>
      <c r="G11" s="37" t="s">
        <v>334</v>
      </c>
      <c r="H11" s="38" t="s">
        <v>325</v>
      </c>
      <c r="I11" s="41">
        <v>1</v>
      </c>
      <c r="J11" s="160" t="s">
        <v>339</v>
      </c>
      <c r="K11" s="38" t="s">
        <v>316</v>
      </c>
      <c r="L11" s="139" t="s">
        <v>313</v>
      </c>
    </row>
    <row r="12" spans="1:15" ht="107.25" customHeight="1">
      <c r="A12" s="171" t="s">
        <v>340</v>
      </c>
      <c r="B12" s="157" t="s">
        <v>341</v>
      </c>
      <c r="C12" s="172" t="s">
        <v>342</v>
      </c>
      <c r="D12" s="38" t="s">
        <v>311</v>
      </c>
      <c r="E12" s="38" t="s">
        <v>343</v>
      </c>
      <c r="F12" s="139" t="s">
        <v>344</v>
      </c>
      <c r="G12" s="38" t="s">
        <v>345</v>
      </c>
      <c r="H12" s="38" t="s">
        <v>346</v>
      </c>
      <c r="I12" s="41" t="s">
        <v>347</v>
      </c>
      <c r="J12" s="127" t="s">
        <v>348</v>
      </c>
      <c r="K12" s="38" t="s">
        <v>349</v>
      </c>
      <c r="L12" s="139" t="s">
        <v>350</v>
      </c>
    </row>
    <row r="13" spans="1:15" ht="109.5" customHeight="1">
      <c r="A13" s="139" t="s">
        <v>351</v>
      </c>
      <c r="B13" s="163" t="s">
        <v>352</v>
      </c>
      <c r="C13" s="130" t="s">
        <v>353</v>
      </c>
      <c r="D13" s="122" t="s">
        <v>311</v>
      </c>
      <c r="E13" s="38" t="s">
        <v>354</v>
      </c>
      <c r="F13" s="139" t="s">
        <v>344</v>
      </c>
      <c r="G13" s="38" t="s">
        <v>340</v>
      </c>
      <c r="H13" s="38" t="s">
        <v>355</v>
      </c>
      <c r="I13" s="41"/>
      <c r="J13" s="127" t="s">
        <v>356</v>
      </c>
      <c r="K13" s="38" t="s">
        <v>316</v>
      </c>
      <c r="L13" s="139" t="s">
        <v>350</v>
      </c>
    </row>
    <row r="14" spans="1:15" s="39" customFormat="1" ht="102" customHeight="1">
      <c r="A14" s="171" t="s">
        <v>357</v>
      </c>
      <c r="B14" s="163" t="s">
        <v>352</v>
      </c>
      <c r="C14" s="173" t="s">
        <v>358</v>
      </c>
      <c r="D14" s="122" t="s">
        <v>311</v>
      </c>
      <c r="E14" s="142" t="s">
        <v>359</v>
      </c>
      <c r="F14" s="171" t="s">
        <v>344</v>
      </c>
      <c r="G14" s="142" t="s">
        <v>351</v>
      </c>
      <c r="H14" s="142" t="s">
        <v>355</v>
      </c>
      <c r="I14" s="174">
        <v>10</v>
      </c>
      <c r="J14" s="127" t="s">
        <v>360</v>
      </c>
      <c r="K14" s="142" t="s">
        <v>349</v>
      </c>
      <c r="L14" s="171" t="s">
        <v>361</v>
      </c>
      <c r="M14" s="141"/>
      <c r="N14" s="141"/>
      <c r="O14" s="141"/>
    </row>
    <row r="15" spans="1:15" ht="120.75" customHeight="1">
      <c r="A15" s="139" t="s">
        <v>362</v>
      </c>
      <c r="B15" s="163" t="s">
        <v>352</v>
      </c>
      <c r="C15" s="175" t="s">
        <v>363</v>
      </c>
      <c r="D15" s="122" t="s">
        <v>311</v>
      </c>
      <c r="E15" s="159" t="s">
        <v>354</v>
      </c>
      <c r="F15" s="139" t="s">
        <v>344</v>
      </c>
      <c r="G15" s="40" t="s">
        <v>357</v>
      </c>
      <c r="H15" s="38" t="s">
        <v>325</v>
      </c>
      <c r="I15" s="41">
        <v>1</v>
      </c>
      <c r="J15" s="124" t="s">
        <v>364</v>
      </c>
      <c r="K15" s="38" t="s">
        <v>365</v>
      </c>
      <c r="L15" s="139" t="s">
        <v>361</v>
      </c>
      <c r="M15" s="42"/>
    </row>
    <row r="16" spans="1:15" ht="157.5" customHeight="1">
      <c r="A16" s="176" t="s">
        <v>366</v>
      </c>
      <c r="B16" s="123" t="s">
        <v>352</v>
      </c>
      <c r="C16" s="127" t="s">
        <v>367</v>
      </c>
      <c r="D16" s="122" t="s">
        <v>311</v>
      </c>
      <c r="E16" s="159" t="s">
        <v>359</v>
      </c>
      <c r="F16" s="139" t="s">
        <v>344</v>
      </c>
      <c r="G16" s="40" t="s">
        <v>368</v>
      </c>
      <c r="H16" s="38" t="s">
        <v>325</v>
      </c>
      <c r="I16" s="41">
        <v>1</v>
      </c>
      <c r="J16" s="127" t="s">
        <v>369</v>
      </c>
      <c r="K16" s="38" t="s">
        <v>365</v>
      </c>
      <c r="L16" s="139" t="s">
        <v>361</v>
      </c>
      <c r="M16" s="42"/>
    </row>
    <row r="17" spans="1:26" ht="110.25" customHeight="1">
      <c r="A17" s="176" t="s">
        <v>370</v>
      </c>
      <c r="B17" s="123" t="s">
        <v>352</v>
      </c>
      <c r="C17" s="127" t="s">
        <v>371</v>
      </c>
      <c r="D17" s="122" t="s">
        <v>311</v>
      </c>
      <c r="E17" s="128" t="s">
        <v>359</v>
      </c>
      <c r="F17" s="139" t="s">
        <v>344</v>
      </c>
      <c r="G17" s="40" t="s">
        <v>366</v>
      </c>
      <c r="H17" s="38" t="s">
        <v>325</v>
      </c>
      <c r="I17" s="41">
        <v>1</v>
      </c>
      <c r="J17" s="127" t="s">
        <v>372</v>
      </c>
      <c r="K17" s="38" t="s">
        <v>316</v>
      </c>
      <c r="L17" s="139" t="s">
        <v>361</v>
      </c>
      <c r="M17" s="42"/>
    </row>
    <row r="18" spans="1:26" ht="104.25" customHeight="1">
      <c r="A18" s="139" t="s">
        <v>373</v>
      </c>
      <c r="B18" s="123" t="s">
        <v>352</v>
      </c>
      <c r="C18" s="127" t="s">
        <v>374</v>
      </c>
      <c r="D18" s="122" t="s">
        <v>311</v>
      </c>
      <c r="E18" s="128" t="s">
        <v>359</v>
      </c>
      <c r="F18" s="139" t="s">
        <v>344</v>
      </c>
      <c r="G18" s="40" t="s">
        <v>375</v>
      </c>
      <c r="H18" s="38" t="s">
        <v>325</v>
      </c>
      <c r="I18" s="41">
        <v>1</v>
      </c>
      <c r="J18" s="124" t="s">
        <v>376</v>
      </c>
      <c r="K18" s="38" t="s">
        <v>316</v>
      </c>
      <c r="L18" s="139" t="s">
        <v>361</v>
      </c>
    </row>
    <row r="19" spans="1:26" ht="122.25" customHeight="1">
      <c r="A19" s="139">
        <v>428</v>
      </c>
      <c r="B19" s="123" t="s">
        <v>352</v>
      </c>
      <c r="C19" s="127" t="s">
        <v>377</v>
      </c>
      <c r="D19" s="122" t="s">
        <v>311</v>
      </c>
      <c r="E19" s="128" t="s">
        <v>359</v>
      </c>
      <c r="F19" s="139" t="s">
        <v>344</v>
      </c>
      <c r="G19" s="40" t="s">
        <v>370</v>
      </c>
      <c r="H19" s="38" t="s">
        <v>325</v>
      </c>
      <c r="I19" s="41">
        <v>1</v>
      </c>
      <c r="J19" s="124" t="s">
        <v>378</v>
      </c>
      <c r="K19" s="37" t="s">
        <v>316</v>
      </c>
      <c r="L19" s="139" t="s">
        <v>361</v>
      </c>
    </row>
    <row r="20" spans="1:26" ht="119.25" customHeight="1">
      <c r="A20" s="155" t="s">
        <v>379</v>
      </c>
      <c r="B20" s="127" t="s">
        <v>380</v>
      </c>
      <c r="C20" s="127" t="s">
        <v>381</v>
      </c>
      <c r="D20" s="124" t="s">
        <v>311</v>
      </c>
      <c r="E20" s="128" t="s">
        <v>343</v>
      </c>
      <c r="F20" s="155" t="s">
        <v>344</v>
      </c>
      <c r="G20" s="32" t="s">
        <v>345</v>
      </c>
      <c r="H20" s="32" t="s">
        <v>325</v>
      </c>
      <c r="I20" s="156">
        <v>1</v>
      </c>
      <c r="J20" s="127" t="s">
        <v>382</v>
      </c>
      <c r="K20" s="128" t="s">
        <v>316</v>
      </c>
      <c r="L20" s="155" t="s">
        <v>361</v>
      </c>
      <c r="M20" s="44"/>
      <c r="N20" s="44"/>
      <c r="O20" s="44"/>
      <c r="P20" s="44"/>
      <c r="Q20" s="44"/>
      <c r="R20" s="44"/>
      <c r="S20" s="44"/>
      <c r="T20" s="44"/>
      <c r="U20" s="44"/>
      <c r="V20" s="44"/>
      <c r="W20" s="44"/>
      <c r="X20" s="44"/>
      <c r="Y20" s="44"/>
      <c r="Z20" s="44"/>
    </row>
    <row r="21" spans="1:26" ht="93.75" customHeight="1">
      <c r="A21" s="177" t="s">
        <v>383</v>
      </c>
      <c r="B21" s="123" t="s">
        <v>380</v>
      </c>
      <c r="C21" s="127" t="s">
        <v>384</v>
      </c>
      <c r="D21" s="124" t="s">
        <v>311</v>
      </c>
      <c r="E21" s="32" t="s">
        <v>343</v>
      </c>
      <c r="F21" s="155" t="s">
        <v>344</v>
      </c>
      <c r="G21" s="32" t="s">
        <v>379</v>
      </c>
      <c r="H21" s="128" t="s">
        <v>325</v>
      </c>
      <c r="I21" s="156">
        <v>1</v>
      </c>
      <c r="J21" s="127" t="s">
        <v>385</v>
      </c>
      <c r="K21" s="128" t="s">
        <v>316</v>
      </c>
      <c r="L21" s="155" t="s">
        <v>361</v>
      </c>
    </row>
    <row r="22" spans="1:26" ht="94.5" customHeight="1">
      <c r="A22" s="177" t="s">
        <v>386</v>
      </c>
      <c r="B22" s="123" t="s">
        <v>380</v>
      </c>
      <c r="C22" s="127" t="s">
        <v>387</v>
      </c>
      <c r="D22" s="124" t="s">
        <v>311</v>
      </c>
      <c r="E22" s="32" t="s">
        <v>343</v>
      </c>
      <c r="F22" s="155" t="s">
        <v>344</v>
      </c>
      <c r="G22" s="32" t="s">
        <v>388</v>
      </c>
      <c r="H22" s="32" t="s">
        <v>325</v>
      </c>
      <c r="I22" s="156">
        <v>1</v>
      </c>
      <c r="J22" s="127" t="s">
        <v>389</v>
      </c>
      <c r="K22" s="128" t="s">
        <v>316</v>
      </c>
      <c r="L22" s="155" t="s">
        <v>361</v>
      </c>
    </row>
    <row r="23" spans="1:26" ht="111" customHeight="1">
      <c r="A23" s="177" t="s">
        <v>390</v>
      </c>
      <c r="B23" s="123" t="s">
        <v>380</v>
      </c>
      <c r="C23" s="127" t="s">
        <v>391</v>
      </c>
      <c r="D23" s="124" t="s">
        <v>311</v>
      </c>
      <c r="E23" s="32" t="s">
        <v>343</v>
      </c>
      <c r="F23" s="155" t="s">
        <v>344</v>
      </c>
      <c r="G23" s="32" t="s">
        <v>386</v>
      </c>
      <c r="H23" s="32" t="s">
        <v>325</v>
      </c>
      <c r="I23" s="156">
        <v>1</v>
      </c>
      <c r="J23" s="127" t="s">
        <v>392</v>
      </c>
      <c r="K23" s="32" t="s">
        <v>316</v>
      </c>
      <c r="L23" s="155" t="s">
        <v>361</v>
      </c>
    </row>
    <row r="24" spans="1:26" ht="96.75" customHeight="1">
      <c r="A24" s="178" t="s">
        <v>393</v>
      </c>
      <c r="B24" s="123" t="s">
        <v>380</v>
      </c>
      <c r="C24" s="127" t="s">
        <v>394</v>
      </c>
      <c r="D24" s="124" t="s">
        <v>311</v>
      </c>
      <c r="E24" s="32" t="s">
        <v>343</v>
      </c>
      <c r="F24" s="155" t="s">
        <v>344</v>
      </c>
      <c r="G24" s="32" t="s">
        <v>390</v>
      </c>
      <c r="H24" s="32" t="s">
        <v>325</v>
      </c>
      <c r="I24" s="156">
        <v>1</v>
      </c>
      <c r="J24" s="127" t="s">
        <v>395</v>
      </c>
      <c r="K24" s="128" t="s">
        <v>316</v>
      </c>
      <c r="L24" s="155" t="s">
        <v>361</v>
      </c>
    </row>
    <row r="25" spans="1:26" ht="98.25" customHeight="1">
      <c r="A25" s="178" t="s">
        <v>396</v>
      </c>
      <c r="B25" s="123" t="s">
        <v>380</v>
      </c>
      <c r="C25" s="127" t="s">
        <v>397</v>
      </c>
      <c r="D25" s="124" t="s">
        <v>311</v>
      </c>
      <c r="E25" s="32" t="s">
        <v>343</v>
      </c>
      <c r="F25" s="155" t="s">
        <v>344</v>
      </c>
      <c r="G25" s="32" t="s">
        <v>390</v>
      </c>
      <c r="H25" s="32" t="s">
        <v>325</v>
      </c>
      <c r="I25" s="156">
        <v>1</v>
      </c>
      <c r="J25" s="127" t="s">
        <v>398</v>
      </c>
      <c r="K25" s="128" t="s">
        <v>316</v>
      </c>
      <c r="L25" s="155" t="s">
        <v>361</v>
      </c>
    </row>
    <row r="26" spans="1:26" ht="98.25" customHeight="1">
      <c r="A26" s="178" t="s">
        <v>399</v>
      </c>
      <c r="B26" s="123" t="s">
        <v>380</v>
      </c>
      <c r="C26" s="127" t="s">
        <v>400</v>
      </c>
      <c r="D26" s="124" t="s">
        <v>311</v>
      </c>
      <c r="E26" s="32" t="s">
        <v>312</v>
      </c>
      <c r="F26" s="155" t="s">
        <v>344</v>
      </c>
      <c r="G26" s="32" t="s">
        <v>386</v>
      </c>
      <c r="H26" s="32" t="s">
        <v>325</v>
      </c>
      <c r="I26" s="156">
        <v>1</v>
      </c>
      <c r="J26" s="127" t="s">
        <v>401</v>
      </c>
      <c r="K26" s="128" t="s">
        <v>316</v>
      </c>
      <c r="L26" s="155" t="s">
        <v>361</v>
      </c>
    </row>
    <row r="27" spans="1:26" ht="96" customHeight="1">
      <c r="A27" s="139" t="s">
        <v>402</v>
      </c>
      <c r="B27" s="123" t="s">
        <v>380</v>
      </c>
      <c r="C27" s="127" t="s">
        <v>403</v>
      </c>
      <c r="D27" s="124" t="s">
        <v>311</v>
      </c>
      <c r="E27" s="32" t="s">
        <v>312</v>
      </c>
      <c r="F27" s="155" t="s">
        <v>344</v>
      </c>
      <c r="G27" s="32" t="s">
        <v>393</v>
      </c>
      <c r="H27" s="32" t="s">
        <v>325</v>
      </c>
      <c r="I27" s="156">
        <v>1</v>
      </c>
      <c r="J27" s="127" t="s">
        <v>404</v>
      </c>
      <c r="K27" s="128" t="s">
        <v>316</v>
      </c>
      <c r="L27" s="155" t="s">
        <v>361</v>
      </c>
    </row>
    <row r="28" spans="1:26" ht="90.75" customHeight="1">
      <c r="A28" s="38" t="s">
        <v>379</v>
      </c>
      <c r="B28" s="157" t="s">
        <v>405</v>
      </c>
      <c r="C28" s="127" t="s">
        <v>406</v>
      </c>
      <c r="D28" s="38" t="s">
        <v>311</v>
      </c>
      <c r="E28" s="38" t="s">
        <v>312</v>
      </c>
      <c r="F28" s="139" t="s">
        <v>407</v>
      </c>
      <c r="G28" s="38" t="s">
        <v>345</v>
      </c>
      <c r="H28" s="38" t="s">
        <v>325</v>
      </c>
      <c r="I28" s="41">
        <v>1</v>
      </c>
      <c r="J28" s="127" t="s">
        <v>408</v>
      </c>
      <c r="K28" s="38" t="s">
        <v>316</v>
      </c>
      <c r="L28" s="139" t="s">
        <v>407</v>
      </c>
    </row>
    <row r="29" spans="1:26" ht="82.5" customHeight="1">
      <c r="A29" s="38" t="s">
        <v>388</v>
      </c>
      <c r="B29" s="130" t="s">
        <v>409</v>
      </c>
      <c r="C29" s="127" t="s">
        <v>410</v>
      </c>
      <c r="D29" s="128" t="s">
        <v>311</v>
      </c>
      <c r="E29" s="38" t="s">
        <v>411</v>
      </c>
      <c r="F29" s="135" t="s">
        <v>407</v>
      </c>
      <c r="G29" s="38" t="s">
        <v>379</v>
      </c>
      <c r="H29" s="45" t="s">
        <v>325</v>
      </c>
      <c r="I29" s="41">
        <v>1</v>
      </c>
      <c r="J29" s="46" t="s">
        <v>412</v>
      </c>
      <c r="K29" s="38" t="s">
        <v>316</v>
      </c>
      <c r="L29" s="135" t="s">
        <v>407</v>
      </c>
    </row>
    <row r="30" spans="1:26" ht="66.75" customHeight="1">
      <c r="A30" s="38" t="s">
        <v>386</v>
      </c>
      <c r="B30" s="130" t="s">
        <v>409</v>
      </c>
      <c r="C30" s="127" t="s">
        <v>413</v>
      </c>
      <c r="D30" s="38" t="s">
        <v>311</v>
      </c>
      <c r="E30" s="38" t="s">
        <v>312</v>
      </c>
      <c r="F30" s="135" t="s">
        <v>407</v>
      </c>
      <c r="G30" s="38" t="s">
        <v>388</v>
      </c>
      <c r="H30" s="45" t="s">
        <v>325</v>
      </c>
      <c r="I30" s="41">
        <v>1</v>
      </c>
      <c r="J30" s="46" t="s">
        <v>414</v>
      </c>
      <c r="K30" s="38" t="s">
        <v>316</v>
      </c>
      <c r="L30" s="135" t="s">
        <v>407</v>
      </c>
    </row>
    <row r="31" spans="1:26" ht="89.25" customHeight="1">
      <c r="A31" s="38" t="s">
        <v>390</v>
      </c>
      <c r="B31" s="130" t="s">
        <v>409</v>
      </c>
      <c r="C31" s="127" t="s">
        <v>415</v>
      </c>
      <c r="D31" s="38" t="s">
        <v>311</v>
      </c>
      <c r="E31" s="38" t="s">
        <v>312</v>
      </c>
      <c r="F31" s="135" t="s">
        <v>407</v>
      </c>
      <c r="G31" s="38" t="s">
        <v>386</v>
      </c>
      <c r="H31" s="45" t="s">
        <v>325</v>
      </c>
      <c r="I31" s="41">
        <v>1</v>
      </c>
      <c r="J31" s="46" t="s">
        <v>416</v>
      </c>
      <c r="K31" s="38" t="s">
        <v>316</v>
      </c>
      <c r="L31" s="139" t="s">
        <v>407</v>
      </c>
    </row>
    <row r="32" spans="1:26" ht="76.5" customHeight="1">
      <c r="A32" s="38" t="s">
        <v>393</v>
      </c>
      <c r="B32" s="130" t="s">
        <v>409</v>
      </c>
      <c r="C32" s="127" t="s">
        <v>417</v>
      </c>
      <c r="D32" s="38" t="s">
        <v>311</v>
      </c>
      <c r="E32" s="38" t="s">
        <v>312</v>
      </c>
      <c r="F32" s="135" t="s">
        <v>407</v>
      </c>
      <c r="G32" s="38" t="s">
        <v>386</v>
      </c>
      <c r="H32" s="45" t="s">
        <v>325</v>
      </c>
      <c r="I32" s="41">
        <v>1</v>
      </c>
      <c r="J32" s="46" t="s">
        <v>418</v>
      </c>
      <c r="K32" s="38" t="s">
        <v>316</v>
      </c>
      <c r="L32" s="139" t="s">
        <v>407</v>
      </c>
    </row>
    <row r="33" spans="1:12" ht="85.5" customHeight="1">
      <c r="A33" s="38" t="s">
        <v>396</v>
      </c>
      <c r="B33" s="130" t="s">
        <v>409</v>
      </c>
      <c r="C33" s="127" t="s">
        <v>419</v>
      </c>
      <c r="D33" s="38" t="s">
        <v>311</v>
      </c>
      <c r="E33" s="38" t="s">
        <v>312</v>
      </c>
      <c r="F33" s="139" t="s">
        <v>407</v>
      </c>
      <c r="G33" s="38" t="s">
        <v>390</v>
      </c>
      <c r="H33" s="45" t="s">
        <v>325</v>
      </c>
      <c r="I33" s="41">
        <v>1</v>
      </c>
      <c r="J33" s="46" t="s">
        <v>420</v>
      </c>
      <c r="K33" s="38" t="s">
        <v>349</v>
      </c>
      <c r="L33" s="139" t="s">
        <v>407</v>
      </c>
    </row>
    <row r="34" spans="1:12" ht="73.5" customHeight="1">
      <c r="A34" s="38" t="s">
        <v>399</v>
      </c>
      <c r="B34" s="157" t="s">
        <v>421</v>
      </c>
      <c r="C34" s="127" t="s">
        <v>422</v>
      </c>
      <c r="D34" s="38" t="s">
        <v>311</v>
      </c>
      <c r="E34" s="38" t="s">
        <v>312</v>
      </c>
      <c r="F34" s="139" t="s">
        <v>407</v>
      </c>
      <c r="G34" s="38" t="s">
        <v>396</v>
      </c>
      <c r="H34" s="45" t="s">
        <v>325</v>
      </c>
      <c r="I34" s="41">
        <v>1</v>
      </c>
      <c r="J34" s="46" t="s">
        <v>423</v>
      </c>
      <c r="K34" s="38" t="s">
        <v>349</v>
      </c>
      <c r="L34" s="139" t="s">
        <v>407</v>
      </c>
    </row>
    <row r="35" spans="1:12" ht="80.25" customHeight="1">
      <c r="A35" s="38" t="s">
        <v>402</v>
      </c>
      <c r="B35" s="130" t="s">
        <v>424</v>
      </c>
      <c r="C35" s="127" t="s">
        <v>425</v>
      </c>
      <c r="D35" s="38" t="s">
        <v>311</v>
      </c>
      <c r="E35" s="38" t="s">
        <v>312</v>
      </c>
      <c r="F35" s="139" t="s">
        <v>407</v>
      </c>
      <c r="G35" s="38" t="s">
        <v>399</v>
      </c>
      <c r="H35" s="45" t="s">
        <v>325</v>
      </c>
      <c r="I35" s="41">
        <v>1</v>
      </c>
      <c r="J35" s="127" t="s">
        <v>426</v>
      </c>
      <c r="K35" s="38" t="s">
        <v>349</v>
      </c>
      <c r="L35" s="135" t="s">
        <v>407</v>
      </c>
    </row>
    <row r="36" spans="1:12" ht="77.25" customHeight="1">
      <c r="A36" s="38" t="s">
        <v>427</v>
      </c>
      <c r="B36" s="130" t="s">
        <v>424</v>
      </c>
      <c r="C36" s="127" t="s">
        <v>428</v>
      </c>
      <c r="D36" s="38" t="s">
        <v>311</v>
      </c>
      <c r="E36" s="38" t="s">
        <v>312</v>
      </c>
      <c r="F36" s="139" t="s">
        <v>407</v>
      </c>
      <c r="G36" s="38" t="s">
        <v>402</v>
      </c>
      <c r="H36" s="45" t="s">
        <v>325</v>
      </c>
      <c r="I36" s="41">
        <v>1</v>
      </c>
      <c r="J36" s="124" t="s">
        <v>429</v>
      </c>
      <c r="K36" s="38" t="s">
        <v>349</v>
      </c>
      <c r="L36" s="139" t="s">
        <v>407</v>
      </c>
    </row>
    <row r="37" spans="1:12" ht="89.25" customHeight="1">
      <c r="A37" s="38" t="s">
        <v>430</v>
      </c>
      <c r="B37" s="130" t="s">
        <v>424</v>
      </c>
      <c r="C37" s="127" t="s">
        <v>431</v>
      </c>
      <c r="D37" s="38" t="s">
        <v>311</v>
      </c>
      <c r="E37" s="38" t="s">
        <v>312</v>
      </c>
      <c r="F37" s="139" t="s">
        <v>407</v>
      </c>
      <c r="G37" s="38" t="s">
        <v>427</v>
      </c>
      <c r="H37" s="45" t="s">
        <v>325</v>
      </c>
      <c r="I37" s="41">
        <v>1</v>
      </c>
      <c r="J37" s="124" t="s">
        <v>432</v>
      </c>
      <c r="K37" s="38" t="s">
        <v>349</v>
      </c>
      <c r="L37" s="139" t="s">
        <v>407</v>
      </c>
    </row>
    <row r="38" spans="1:12" ht="107.25" customHeight="1">
      <c r="A38" s="38" t="s">
        <v>433</v>
      </c>
      <c r="B38" s="130" t="s">
        <v>424</v>
      </c>
      <c r="C38" s="127" t="s">
        <v>434</v>
      </c>
      <c r="D38" s="38" t="s">
        <v>311</v>
      </c>
      <c r="E38" s="38" t="s">
        <v>312</v>
      </c>
      <c r="F38" s="139" t="s">
        <v>407</v>
      </c>
      <c r="G38" s="38" t="s">
        <v>430</v>
      </c>
      <c r="H38" s="45" t="s">
        <v>325</v>
      </c>
      <c r="I38" s="41">
        <v>1</v>
      </c>
      <c r="J38" s="124" t="s">
        <v>435</v>
      </c>
      <c r="K38" s="38" t="s">
        <v>349</v>
      </c>
      <c r="L38" s="139" t="s">
        <v>407</v>
      </c>
    </row>
    <row r="39" spans="1:12" ht="73.5" customHeight="1">
      <c r="A39" s="38" t="s">
        <v>436</v>
      </c>
      <c r="B39" s="130" t="s">
        <v>424</v>
      </c>
      <c r="C39" s="127" t="s">
        <v>437</v>
      </c>
      <c r="D39" s="38" t="s">
        <v>311</v>
      </c>
      <c r="E39" s="38" t="s">
        <v>312</v>
      </c>
      <c r="F39" s="139" t="s">
        <v>407</v>
      </c>
      <c r="G39" s="38" t="s">
        <v>433</v>
      </c>
      <c r="H39" s="122" t="s">
        <v>346</v>
      </c>
      <c r="I39" s="41">
        <v>1</v>
      </c>
      <c r="J39" s="124" t="s">
        <v>438</v>
      </c>
      <c r="K39" s="38" t="s">
        <v>349</v>
      </c>
      <c r="L39" s="139" t="s">
        <v>407</v>
      </c>
    </row>
    <row r="40" spans="1:12" ht="87" customHeight="1">
      <c r="A40" s="38" t="s">
        <v>439</v>
      </c>
      <c r="B40" s="130" t="s">
        <v>424</v>
      </c>
      <c r="C40" s="127" t="s">
        <v>377</v>
      </c>
      <c r="D40" s="38" t="s">
        <v>440</v>
      </c>
      <c r="E40" s="38" t="s">
        <v>312</v>
      </c>
      <c r="F40" s="139" t="s">
        <v>407</v>
      </c>
      <c r="G40" s="38" t="s">
        <v>436</v>
      </c>
      <c r="H40" s="122" t="s">
        <v>325</v>
      </c>
      <c r="I40" s="41">
        <v>1</v>
      </c>
      <c r="J40" s="124" t="s">
        <v>441</v>
      </c>
      <c r="K40" s="38" t="s">
        <v>349</v>
      </c>
      <c r="L40" s="139" t="s">
        <v>407</v>
      </c>
    </row>
    <row r="41" spans="1:12" ht="75.75" customHeight="1">
      <c r="A41" s="38" t="s">
        <v>379</v>
      </c>
      <c r="B41" s="130" t="s">
        <v>442</v>
      </c>
      <c r="C41" s="127" t="s">
        <v>443</v>
      </c>
      <c r="D41" s="124" t="s">
        <v>311</v>
      </c>
      <c r="E41" s="38" t="s">
        <v>312</v>
      </c>
      <c r="F41" s="139" t="s">
        <v>344</v>
      </c>
      <c r="G41" s="38" t="s">
        <v>345</v>
      </c>
      <c r="H41" s="122" t="s">
        <v>346</v>
      </c>
      <c r="I41" s="41">
        <v>1</v>
      </c>
      <c r="J41" s="127" t="s">
        <v>444</v>
      </c>
      <c r="K41" s="38" t="s">
        <v>316</v>
      </c>
      <c r="L41" s="139" t="s">
        <v>361</v>
      </c>
    </row>
    <row r="42" spans="1:12" ht="85.5" customHeight="1">
      <c r="A42" s="38" t="s">
        <v>383</v>
      </c>
      <c r="B42" s="130" t="s">
        <v>442</v>
      </c>
      <c r="C42" s="127" t="s">
        <v>445</v>
      </c>
      <c r="D42" s="124" t="s">
        <v>311</v>
      </c>
      <c r="E42" s="38" t="s">
        <v>312</v>
      </c>
      <c r="F42" s="139" t="s">
        <v>344</v>
      </c>
      <c r="G42" s="38" t="s">
        <v>379</v>
      </c>
      <c r="H42" s="122" t="s">
        <v>346</v>
      </c>
      <c r="I42" s="41">
        <v>1</v>
      </c>
      <c r="J42" s="127" t="s">
        <v>446</v>
      </c>
      <c r="K42" s="38" t="s">
        <v>349</v>
      </c>
      <c r="L42" s="135" t="s">
        <v>361</v>
      </c>
    </row>
    <row r="43" spans="1:12" ht="84.75" customHeight="1">
      <c r="A43" s="38" t="s">
        <v>386</v>
      </c>
      <c r="B43" s="130" t="s">
        <v>442</v>
      </c>
      <c r="C43" s="127" t="s">
        <v>447</v>
      </c>
      <c r="D43" s="38" t="s">
        <v>311</v>
      </c>
      <c r="E43" s="38" t="s">
        <v>312</v>
      </c>
      <c r="F43" s="139" t="s">
        <v>344</v>
      </c>
      <c r="G43" s="38" t="s">
        <v>379</v>
      </c>
      <c r="H43" s="122" t="s">
        <v>346</v>
      </c>
      <c r="I43" s="41">
        <v>1</v>
      </c>
      <c r="J43" s="127" t="s">
        <v>448</v>
      </c>
      <c r="K43" s="38" t="s">
        <v>349</v>
      </c>
      <c r="L43" s="135" t="s">
        <v>361</v>
      </c>
    </row>
    <row r="44" spans="1:12" ht="78.75" customHeight="1">
      <c r="A44" s="38" t="s">
        <v>390</v>
      </c>
      <c r="B44" s="130" t="s">
        <v>442</v>
      </c>
      <c r="C44" s="127" t="s">
        <v>449</v>
      </c>
      <c r="D44" s="38" t="s">
        <v>311</v>
      </c>
      <c r="E44" s="38" t="s">
        <v>312</v>
      </c>
      <c r="F44" s="139" t="s">
        <v>344</v>
      </c>
      <c r="G44" s="38" t="s">
        <v>386</v>
      </c>
      <c r="H44" s="122" t="s">
        <v>346</v>
      </c>
      <c r="I44" s="41">
        <v>1</v>
      </c>
      <c r="J44" s="124" t="s">
        <v>450</v>
      </c>
      <c r="K44" s="38" t="s">
        <v>349</v>
      </c>
      <c r="L44" s="135" t="s">
        <v>361</v>
      </c>
    </row>
    <row r="45" spans="1:12" ht="78" customHeight="1">
      <c r="A45" s="38" t="s">
        <v>393</v>
      </c>
      <c r="B45" s="130" t="s">
        <v>442</v>
      </c>
      <c r="C45" s="127" t="s">
        <v>451</v>
      </c>
      <c r="D45" s="38" t="s">
        <v>311</v>
      </c>
      <c r="E45" s="38" t="s">
        <v>312</v>
      </c>
      <c r="F45" s="139" t="s">
        <v>344</v>
      </c>
      <c r="G45" s="38" t="s">
        <v>379</v>
      </c>
      <c r="H45" s="122" t="s">
        <v>346</v>
      </c>
      <c r="I45" s="41">
        <v>1</v>
      </c>
      <c r="J45" s="127" t="s">
        <v>452</v>
      </c>
      <c r="K45" s="38" t="s">
        <v>349</v>
      </c>
      <c r="L45" s="139" t="s">
        <v>361</v>
      </c>
    </row>
    <row r="46" spans="1:12" ht="80.25" customHeight="1">
      <c r="A46" s="38" t="s">
        <v>396</v>
      </c>
      <c r="B46" s="130" t="s">
        <v>442</v>
      </c>
      <c r="C46" s="127" t="s">
        <v>453</v>
      </c>
      <c r="D46" s="38" t="s">
        <v>311</v>
      </c>
      <c r="E46" s="38" t="s">
        <v>312</v>
      </c>
      <c r="F46" s="139" t="s">
        <v>344</v>
      </c>
      <c r="G46" s="38" t="s">
        <v>388</v>
      </c>
      <c r="H46" s="122" t="s">
        <v>346</v>
      </c>
      <c r="I46" s="41">
        <v>1</v>
      </c>
      <c r="J46" s="127" t="s">
        <v>454</v>
      </c>
      <c r="K46" s="38" t="s">
        <v>349</v>
      </c>
      <c r="L46" s="135" t="s">
        <v>361</v>
      </c>
    </row>
    <row r="47" spans="1:12" ht="69" customHeight="1">
      <c r="A47" s="38" t="s">
        <v>399</v>
      </c>
      <c r="B47" s="130" t="s">
        <v>442</v>
      </c>
      <c r="C47" s="127" t="s">
        <v>455</v>
      </c>
      <c r="D47" s="38" t="s">
        <v>311</v>
      </c>
      <c r="E47" s="38" t="s">
        <v>312</v>
      </c>
      <c r="F47" s="139" t="s">
        <v>344</v>
      </c>
      <c r="G47" s="38" t="s">
        <v>386</v>
      </c>
      <c r="H47" s="122" t="s">
        <v>346</v>
      </c>
      <c r="I47" s="41">
        <v>1</v>
      </c>
      <c r="J47" s="127" t="s">
        <v>456</v>
      </c>
      <c r="K47" s="38" t="s">
        <v>349</v>
      </c>
      <c r="L47" s="139" t="s">
        <v>361</v>
      </c>
    </row>
    <row r="48" spans="1:12" ht="75" customHeight="1">
      <c r="A48" s="38" t="s">
        <v>402</v>
      </c>
      <c r="B48" s="130" t="s">
        <v>442</v>
      </c>
      <c r="C48" s="127" t="s">
        <v>457</v>
      </c>
      <c r="D48" s="38" t="s">
        <v>311</v>
      </c>
      <c r="E48" s="38" t="s">
        <v>312</v>
      </c>
      <c r="F48" s="139" t="s">
        <v>344</v>
      </c>
      <c r="G48" s="38" t="s">
        <v>458</v>
      </c>
      <c r="H48" s="122" t="s">
        <v>346</v>
      </c>
      <c r="I48" s="41">
        <v>1</v>
      </c>
      <c r="J48" s="124" t="s">
        <v>459</v>
      </c>
      <c r="K48" s="38" t="s">
        <v>349</v>
      </c>
      <c r="L48" s="139" t="s">
        <v>361</v>
      </c>
    </row>
    <row r="49" spans="1:12" ht="72" customHeight="1">
      <c r="A49" s="38" t="s">
        <v>427</v>
      </c>
      <c r="B49" s="130" t="s">
        <v>442</v>
      </c>
      <c r="C49" s="127" t="s">
        <v>460</v>
      </c>
      <c r="D49" s="38" t="s">
        <v>311</v>
      </c>
      <c r="E49" s="38" t="s">
        <v>312</v>
      </c>
      <c r="F49" s="139" t="s">
        <v>344</v>
      </c>
      <c r="G49" s="38" t="s">
        <v>402</v>
      </c>
      <c r="H49" s="122" t="s">
        <v>346</v>
      </c>
      <c r="I49" s="41">
        <v>1</v>
      </c>
      <c r="J49" s="127" t="s">
        <v>461</v>
      </c>
      <c r="K49" s="38" t="s">
        <v>349</v>
      </c>
      <c r="L49" s="135" t="s">
        <v>361</v>
      </c>
    </row>
    <row r="50" spans="1:12" ht="110.25" customHeight="1">
      <c r="A50" s="38" t="s">
        <v>379</v>
      </c>
      <c r="B50" s="130" t="s">
        <v>462</v>
      </c>
      <c r="C50" s="127" t="s">
        <v>463</v>
      </c>
      <c r="D50" s="38" t="s">
        <v>440</v>
      </c>
      <c r="E50" s="128" t="s">
        <v>343</v>
      </c>
      <c r="F50" s="139" t="s">
        <v>344</v>
      </c>
      <c r="G50" s="38" t="s">
        <v>345</v>
      </c>
      <c r="H50" s="122" t="s">
        <v>346</v>
      </c>
      <c r="I50" s="41">
        <v>1</v>
      </c>
      <c r="J50" s="127" t="s">
        <v>464</v>
      </c>
      <c r="K50" s="38" t="s">
        <v>365</v>
      </c>
      <c r="L50" s="139" t="s">
        <v>361</v>
      </c>
    </row>
    <row r="51" spans="1:12" ht="75.75" customHeight="1">
      <c r="A51" s="38" t="s">
        <v>383</v>
      </c>
      <c r="B51" s="130" t="s">
        <v>462</v>
      </c>
      <c r="C51" s="127" t="s">
        <v>465</v>
      </c>
      <c r="D51" s="38" t="s">
        <v>440</v>
      </c>
      <c r="E51" s="128" t="s">
        <v>343</v>
      </c>
      <c r="F51" s="139" t="s">
        <v>344</v>
      </c>
      <c r="G51" s="38" t="s">
        <v>379</v>
      </c>
      <c r="H51" s="122" t="s">
        <v>346</v>
      </c>
      <c r="I51" s="41">
        <v>1</v>
      </c>
      <c r="J51" s="127" t="s">
        <v>466</v>
      </c>
      <c r="K51" s="38" t="s">
        <v>349</v>
      </c>
      <c r="L51" s="139" t="s">
        <v>361</v>
      </c>
    </row>
    <row r="52" spans="1:12" ht="113.25" customHeight="1">
      <c r="A52" s="38" t="s">
        <v>386</v>
      </c>
      <c r="B52" s="130" t="s">
        <v>462</v>
      </c>
      <c r="C52" s="127" t="s">
        <v>467</v>
      </c>
      <c r="D52" s="38" t="s">
        <v>440</v>
      </c>
      <c r="E52" s="128" t="s">
        <v>343</v>
      </c>
      <c r="F52" s="139" t="s">
        <v>344</v>
      </c>
      <c r="G52" s="38" t="s">
        <v>379</v>
      </c>
      <c r="H52" s="122" t="s">
        <v>346</v>
      </c>
      <c r="I52" s="41">
        <v>1</v>
      </c>
      <c r="J52" s="124" t="s">
        <v>468</v>
      </c>
      <c r="K52" s="38" t="s">
        <v>349</v>
      </c>
      <c r="L52" s="139" t="s">
        <v>361</v>
      </c>
    </row>
    <row r="53" spans="1:12" ht="107.25" customHeight="1">
      <c r="A53" s="38" t="s">
        <v>390</v>
      </c>
      <c r="B53" s="130" t="s">
        <v>462</v>
      </c>
      <c r="C53" s="127" t="s">
        <v>469</v>
      </c>
      <c r="D53" s="38" t="s">
        <v>440</v>
      </c>
      <c r="E53" s="38" t="s">
        <v>343</v>
      </c>
      <c r="F53" s="139" t="s">
        <v>344</v>
      </c>
      <c r="G53" s="38" t="s">
        <v>470</v>
      </c>
      <c r="H53" s="122" t="s">
        <v>346</v>
      </c>
      <c r="I53" s="41">
        <v>1</v>
      </c>
      <c r="J53" s="127" t="s">
        <v>471</v>
      </c>
      <c r="K53" s="38" t="s">
        <v>349</v>
      </c>
      <c r="L53" s="139" t="s">
        <v>361</v>
      </c>
    </row>
    <row r="54" spans="1:12" ht="73.5" customHeight="1">
      <c r="A54" s="38" t="s">
        <v>393</v>
      </c>
      <c r="B54" s="130" t="s">
        <v>472</v>
      </c>
      <c r="C54" s="127" t="s">
        <v>473</v>
      </c>
      <c r="D54" s="38" t="s">
        <v>440</v>
      </c>
      <c r="E54" s="38" t="s">
        <v>343</v>
      </c>
      <c r="F54" s="139" t="s">
        <v>344</v>
      </c>
      <c r="G54" s="38" t="s">
        <v>345</v>
      </c>
      <c r="H54" s="122" t="s">
        <v>346</v>
      </c>
      <c r="I54" s="41">
        <v>1</v>
      </c>
      <c r="J54" s="127" t="s">
        <v>474</v>
      </c>
      <c r="K54" s="38" t="s">
        <v>349</v>
      </c>
      <c r="L54" s="139" t="s">
        <v>361</v>
      </c>
    </row>
    <row r="55" spans="1:12" ht="79.5" customHeight="1">
      <c r="A55" s="38" t="s">
        <v>396</v>
      </c>
      <c r="B55" s="130" t="s">
        <v>475</v>
      </c>
      <c r="C55" s="127" t="s">
        <v>476</v>
      </c>
      <c r="D55" s="38" t="s">
        <v>440</v>
      </c>
      <c r="E55" s="38" t="s">
        <v>343</v>
      </c>
      <c r="F55" s="139" t="s">
        <v>344</v>
      </c>
      <c r="G55" s="38" t="s">
        <v>393</v>
      </c>
      <c r="H55" s="122" t="s">
        <v>346</v>
      </c>
      <c r="I55" s="41">
        <v>1</v>
      </c>
      <c r="J55" s="127" t="s">
        <v>477</v>
      </c>
      <c r="K55" s="38" t="s">
        <v>349</v>
      </c>
      <c r="L55" s="139" t="s">
        <v>361</v>
      </c>
    </row>
    <row r="56" spans="1:12" ht="83.25" customHeight="1">
      <c r="A56" s="38" t="s">
        <v>399</v>
      </c>
      <c r="B56" s="130" t="s">
        <v>475</v>
      </c>
      <c r="C56" s="127" t="s">
        <v>478</v>
      </c>
      <c r="D56" s="128" t="s">
        <v>311</v>
      </c>
      <c r="E56" s="38" t="s">
        <v>343</v>
      </c>
      <c r="F56" s="139" t="s">
        <v>344</v>
      </c>
      <c r="G56" s="38" t="s">
        <v>479</v>
      </c>
      <c r="H56" s="122" t="s">
        <v>346</v>
      </c>
      <c r="I56" s="41">
        <v>1</v>
      </c>
      <c r="J56" s="124" t="s">
        <v>480</v>
      </c>
      <c r="K56" s="38" t="s">
        <v>349</v>
      </c>
      <c r="L56" s="139" t="s">
        <v>361</v>
      </c>
    </row>
    <row r="57" spans="1:12" ht="93" customHeight="1">
      <c r="A57" s="38" t="s">
        <v>402</v>
      </c>
      <c r="B57" s="130" t="s">
        <v>475</v>
      </c>
      <c r="C57" s="127" t="s">
        <v>481</v>
      </c>
      <c r="D57" s="38" t="s">
        <v>440</v>
      </c>
      <c r="E57" s="38" t="s">
        <v>343</v>
      </c>
      <c r="F57" s="139" t="s">
        <v>344</v>
      </c>
      <c r="G57" s="38" t="s">
        <v>396</v>
      </c>
      <c r="H57" s="122" t="s">
        <v>346</v>
      </c>
      <c r="I57" s="41">
        <v>1</v>
      </c>
      <c r="J57" s="124" t="s">
        <v>482</v>
      </c>
      <c r="K57" s="38" t="s">
        <v>349</v>
      </c>
      <c r="L57" s="139" t="s">
        <v>361</v>
      </c>
    </row>
    <row r="58" spans="1:12" ht="69.75" customHeight="1">
      <c r="A58" s="38" t="s">
        <v>427</v>
      </c>
      <c r="B58" s="130" t="s">
        <v>475</v>
      </c>
      <c r="C58" s="127" t="s">
        <v>483</v>
      </c>
      <c r="D58" s="38" t="s">
        <v>440</v>
      </c>
      <c r="E58" s="38" t="s">
        <v>343</v>
      </c>
      <c r="F58" s="139" t="s">
        <v>344</v>
      </c>
      <c r="G58" s="38" t="s">
        <v>484</v>
      </c>
      <c r="H58" s="122" t="s">
        <v>346</v>
      </c>
      <c r="I58" s="41">
        <v>1</v>
      </c>
      <c r="J58" s="124" t="s">
        <v>485</v>
      </c>
      <c r="K58" s="38" t="s">
        <v>349</v>
      </c>
      <c r="L58" s="139" t="s">
        <v>361</v>
      </c>
    </row>
    <row r="59" spans="1:12" ht="75.75" customHeight="1">
      <c r="A59" s="38" t="s">
        <v>430</v>
      </c>
      <c r="B59" s="130" t="s">
        <v>486</v>
      </c>
      <c r="C59" s="127" t="s">
        <v>487</v>
      </c>
      <c r="D59" s="38" t="s">
        <v>440</v>
      </c>
      <c r="E59" s="38" t="s">
        <v>343</v>
      </c>
      <c r="F59" s="139" t="s">
        <v>344</v>
      </c>
      <c r="G59" s="38" t="s">
        <v>345</v>
      </c>
      <c r="H59" s="122" t="s">
        <v>346</v>
      </c>
      <c r="I59" s="41">
        <v>1</v>
      </c>
      <c r="J59" s="124" t="s">
        <v>488</v>
      </c>
      <c r="K59" s="38" t="s">
        <v>349</v>
      </c>
      <c r="L59" s="139" t="s">
        <v>361</v>
      </c>
    </row>
    <row r="60" spans="1:12" ht="68.25" customHeight="1">
      <c r="A60" s="38" t="s">
        <v>433</v>
      </c>
      <c r="B60" s="130" t="s">
        <v>489</v>
      </c>
      <c r="C60" s="127" t="s">
        <v>490</v>
      </c>
      <c r="D60" s="38" t="s">
        <v>440</v>
      </c>
      <c r="E60" s="38" t="s">
        <v>343</v>
      </c>
      <c r="F60" s="139" t="s">
        <v>344</v>
      </c>
      <c r="G60" s="38" t="s">
        <v>430</v>
      </c>
      <c r="H60" s="122" t="s">
        <v>346</v>
      </c>
      <c r="I60" s="41">
        <v>1</v>
      </c>
      <c r="J60" s="127" t="s">
        <v>491</v>
      </c>
      <c r="K60" s="38" t="s">
        <v>349</v>
      </c>
      <c r="L60" s="139" t="s">
        <v>361</v>
      </c>
    </row>
    <row r="61" spans="1:12" ht="69.75" customHeight="1">
      <c r="A61" s="38" t="s">
        <v>436</v>
      </c>
      <c r="B61" s="130" t="s">
        <v>489</v>
      </c>
      <c r="C61" s="127" t="s">
        <v>492</v>
      </c>
      <c r="D61" s="38" t="s">
        <v>440</v>
      </c>
      <c r="E61" s="38" t="s">
        <v>343</v>
      </c>
      <c r="F61" s="139" t="s">
        <v>344</v>
      </c>
      <c r="G61" s="38" t="s">
        <v>430</v>
      </c>
      <c r="H61" s="122" t="s">
        <v>346</v>
      </c>
      <c r="I61" s="41">
        <v>1</v>
      </c>
      <c r="J61" s="124" t="s">
        <v>493</v>
      </c>
      <c r="K61" s="38" t="s">
        <v>349</v>
      </c>
      <c r="L61" s="139" t="s">
        <v>361</v>
      </c>
    </row>
    <row r="62" spans="1:12" ht="61.5" customHeight="1">
      <c r="A62" s="38" t="s">
        <v>439</v>
      </c>
      <c r="B62" s="130" t="s">
        <v>489</v>
      </c>
      <c r="C62" s="127" t="s">
        <v>494</v>
      </c>
      <c r="D62" s="38" t="s">
        <v>440</v>
      </c>
      <c r="E62" s="38" t="s">
        <v>343</v>
      </c>
      <c r="F62" s="139" t="s">
        <v>344</v>
      </c>
      <c r="G62" s="38" t="s">
        <v>495</v>
      </c>
      <c r="H62" s="122" t="s">
        <v>346</v>
      </c>
      <c r="I62" s="41">
        <v>1</v>
      </c>
      <c r="J62" s="127" t="s">
        <v>496</v>
      </c>
      <c r="K62" s="38" t="s">
        <v>349</v>
      </c>
      <c r="L62" s="139" t="s">
        <v>361</v>
      </c>
    </row>
    <row r="63" spans="1:12" ht="72" customHeight="1">
      <c r="A63" s="38" t="s">
        <v>497</v>
      </c>
      <c r="B63" s="130" t="s">
        <v>489</v>
      </c>
      <c r="C63" s="127" t="s">
        <v>494</v>
      </c>
      <c r="D63" s="38" t="s">
        <v>440</v>
      </c>
      <c r="E63" s="38" t="s">
        <v>343</v>
      </c>
      <c r="F63" s="139" t="s">
        <v>344</v>
      </c>
      <c r="G63" s="38" t="s">
        <v>498</v>
      </c>
      <c r="H63" s="122" t="s">
        <v>346</v>
      </c>
      <c r="I63" s="41">
        <v>1</v>
      </c>
      <c r="J63" s="127" t="s">
        <v>499</v>
      </c>
      <c r="K63" s="38" t="s">
        <v>349</v>
      </c>
      <c r="L63" s="139" t="s">
        <v>361</v>
      </c>
    </row>
    <row r="64" spans="1:12" ht="75" customHeight="1">
      <c r="A64" s="38" t="s">
        <v>379</v>
      </c>
      <c r="B64" s="130" t="s">
        <v>500</v>
      </c>
      <c r="C64" s="127" t="s">
        <v>501</v>
      </c>
      <c r="D64" s="38" t="s">
        <v>440</v>
      </c>
      <c r="E64" s="38" t="s">
        <v>312</v>
      </c>
      <c r="F64" s="139" t="s">
        <v>344</v>
      </c>
      <c r="G64" s="38" t="s">
        <v>345</v>
      </c>
      <c r="H64" s="122" t="s">
        <v>346</v>
      </c>
      <c r="I64" s="41">
        <v>1</v>
      </c>
      <c r="J64" s="127" t="s">
        <v>502</v>
      </c>
      <c r="K64" s="38" t="s">
        <v>349</v>
      </c>
      <c r="L64" s="139" t="s">
        <v>361</v>
      </c>
    </row>
    <row r="65" spans="1:12" ht="78" customHeight="1">
      <c r="A65" s="38" t="s">
        <v>388</v>
      </c>
      <c r="B65" s="130" t="s">
        <v>500</v>
      </c>
      <c r="C65" s="127" t="s">
        <v>503</v>
      </c>
      <c r="D65" s="38" t="s">
        <v>440</v>
      </c>
      <c r="E65" s="122" t="s">
        <v>343</v>
      </c>
      <c r="F65" s="139" t="s">
        <v>344</v>
      </c>
      <c r="G65" s="38" t="s">
        <v>379</v>
      </c>
      <c r="H65" s="122" t="s">
        <v>346</v>
      </c>
      <c r="I65" s="41">
        <v>1</v>
      </c>
      <c r="J65" s="127" t="s">
        <v>504</v>
      </c>
      <c r="K65" s="38" t="s">
        <v>349</v>
      </c>
      <c r="L65" s="139" t="s">
        <v>361</v>
      </c>
    </row>
    <row r="66" spans="1:12" ht="84.75" customHeight="1">
      <c r="A66" s="38" t="s">
        <v>386</v>
      </c>
      <c r="B66" s="130" t="s">
        <v>500</v>
      </c>
      <c r="C66" s="127" t="s">
        <v>505</v>
      </c>
      <c r="D66" s="128" t="s">
        <v>311</v>
      </c>
      <c r="E66" s="122" t="s">
        <v>343</v>
      </c>
      <c r="F66" s="139" t="s">
        <v>344</v>
      </c>
      <c r="G66" s="38" t="s">
        <v>379</v>
      </c>
      <c r="H66" s="122" t="s">
        <v>346</v>
      </c>
      <c r="I66" s="41">
        <v>1</v>
      </c>
      <c r="J66" s="127" t="s">
        <v>506</v>
      </c>
      <c r="K66" s="38" t="s">
        <v>349</v>
      </c>
      <c r="L66" s="139" t="s">
        <v>361</v>
      </c>
    </row>
    <row r="67" spans="1:12" ht="105.75" customHeight="1">
      <c r="A67" s="38" t="s">
        <v>390</v>
      </c>
      <c r="B67" s="130" t="s">
        <v>500</v>
      </c>
      <c r="C67" s="127" t="s">
        <v>507</v>
      </c>
      <c r="D67" s="38" t="s">
        <v>440</v>
      </c>
      <c r="E67" s="38" t="s">
        <v>312</v>
      </c>
      <c r="F67" s="139" t="s">
        <v>344</v>
      </c>
      <c r="G67" s="38" t="s">
        <v>386</v>
      </c>
      <c r="H67" s="122" t="s">
        <v>346</v>
      </c>
      <c r="I67" s="41">
        <v>1</v>
      </c>
      <c r="J67" s="124" t="s">
        <v>508</v>
      </c>
      <c r="K67" s="38" t="s">
        <v>349</v>
      </c>
      <c r="L67" s="139" t="s">
        <v>361</v>
      </c>
    </row>
    <row r="68" spans="1:12" ht="98.25" customHeight="1">
      <c r="A68" s="38" t="s">
        <v>393</v>
      </c>
      <c r="B68" s="130" t="s">
        <v>500</v>
      </c>
      <c r="C68" s="127" t="s">
        <v>509</v>
      </c>
      <c r="D68" s="38" t="s">
        <v>440</v>
      </c>
      <c r="E68" s="38" t="s">
        <v>312</v>
      </c>
      <c r="F68" s="139" t="s">
        <v>344</v>
      </c>
      <c r="G68" s="38" t="s">
        <v>390</v>
      </c>
      <c r="H68" s="122" t="s">
        <v>346</v>
      </c>
      <c r="I68" s="41">
        <v>1</v>
      </c>
      <c r="J68" s="127" t="s">
        <v>510</v>
      </c>
      <c r="K68" s="38" t="s">
        <v>349</v>
      </c>
      <c r="L68" s="139" t="s">
        <v>361</v>
      </c>
    </row>
    <row r="69" spans="1:12" ht="75.75" customHeight="1">
      <c r="A69" s="38" t="s">
        <v>396</v>
      </c>
      <c r="B69" s="130" t="s">
        <v>511</v>
      </c>
      <c r="C69" s="127" t="s">
        <v>512</v>
      </c>
      <c r="D69" s="38" t="s">
        <v>440</v>
      </c>
      <c r="E69" s="38" t="s">
        <v>312</v>
      </c>
      <c r="F69" s="139" t="s">
        <v>344</v>
      </c>
      <c r="G69" s="38" t="s">
        <v>314</v>
      </c>
      <c r="H69" s="122" t="s">
        <v>346</v>
      </c>
      <c r="I69" s="41">
        <v>1</v>
      </c>
      <c r="J69" s="124" t="s">
        <v>513</v>
      </c>
      <c r="K69" s="38" t="s">
        <v>349</v>
      </c>
      <c r="L69" s="139" t="s">
        <v>361</v>
      </c>
    </row>
    <row r="70" spans="1:12" ht="83.25" customHeight="1">
      <c r="A70" s="38" t="s">
        <v>399</v>
      </c>
      <c r="B70" s="130" t="s">
        <v>514</v>
      </c>
      <c r="C70" s="127" t="s">
        <v>515</v>
      </c>
      <c r="D70" s="38" t="s">
        <v>440</v>
      </c>
      <c r="E70" s="38" t="s">
        <v>312</v>
      </c>
      <c r="F70" s="139" t="s">
        <v>344</v>
      </c>
      <c r="G70" s="38" t="s">
        <v>396</v>
      </c>
      <c r="H70" s="122" t="s">
        <v>346</v>
      </c>
      <c r="I70" s="41">
        <v>1</v>
      </c>
      <c r="J70" s="127" t="s">
        <v>516</v>
      </c>
      <c r="K70" s="38" t="s">
        <v>349</v>
      </c>
      <c r="L70" s="139" t="s">
        <v>361</v>
      </c>
    </row>
    <row r="71" spans="1:12" ht="60.75" customHeight="1">
      <c r="A71" s="38" t="s">
        <v>402</v>
      </c>
      <c r="B71" s="130" t="s">
        <v>514</v>
      </c>
      <c r="C71" s="127" t="s">
        <v>517</v>
      </c>
      <c r="D71" s="38" t="s">
        <v>440</v>
      </c>
      <c r="E71" s="38" t="s">
        <v>312</v>
      </c>
      <c r="F71" s="139" t="s">
        <v>344</v>
      </c>
      <c r="G71" s="38" t="s">
        <v>396</v>
      </c>
      <c r="H71" s="122" t="s">
        <v>346</v>
      </c>
      <c r="I71" s="41">
        <v>1</v>
      </c>
      <c r="J71" s="124" t="s">
        <v>518</v>
      </c>
      <c r="K71" s="38" t="s">
        <v>349</v>
      </c>
      <c r="L71" s="139" t="s">
        <v>361</v>
      </c>
    </row>
    <row r="72" spans="1:12" ht="60.75" customHeight="1">
      <c r="A72" s="38" t="s">
        <v>427</v>
      </c>
      <c r="B72" s="130" t="s">
        <v>514</v>
      </c>
      <c r="C72" s="127" t="s">
        <v>519</v>
      </c>
      <c r="D72" s="38" t="s">
        <v>440</v>
      </c>
      <c r="E72" s="38" t="s">
        <v>312</v>
      </c>
      <c r="F72" s="139" t="s">
        <v>344</v>
      </c>
      <c r="G72" s="38" t="s">
        <v>399</v>
      </c>
      <c r="H72" s="122" t="s">
        <v>346</v>
      </c>
      <c r="I72" s="41">
        <v>1</v>
      </c>
      <c r="J72" s="127" t="s">
        <v>520</v>
      </c>
      <c r="K72" s="38" t="s">
        <v>349</v>
      </c>
      <c r="L72" s="139" t="s">
        <v>361</v>
      </c>
    </row>
    <row r="73" spans="1:12" ht="77.25" customHeight="1">
      <c r="A73" s="38" t="s">
        <v>379</v>
      </c>
      <c r="B73" s="130" t="s">
        <v>521</v>
      </c>
      <c r="C73" s="127" t="s">
        <v>522</v>
      </c>
      <c r="D73" s="38" t="s">
        <v>440</v>
      </c>
      <c r="E73" s="38" t="s">
        <v>343</v>
      </c>
      <c r="F73" s="139" t="s">
        <v>407</v>
      </c>
      <c r="G73" s="38" t="s">
        <v>523</v>
      </c>
      <c r="H73" s="122" t="s">
        <v>346</v>
      </c>
      <c r="I73" s="41">
        <v>1</v>
      </c>
      <c r="J73" s="124" t="s">
        <v>524</v>
      </c>
      <c r="K73" s="38" t="s">
        <v>349</v>
      </c>
      <c r="L73" s="139" t="s">
        <v>407</v>
      </c>
    </row>
    <row r="74" spans="1:12" ht="60.75" customHeight="1">
      <c r="A74" s="38" t="s">
        <v>388</v>
      </c>
      <c r="B74" s="179" t="s">
        <v>521</v>
      </c>
      <c r="C74" s="127" t="s">
        <v>525</v>
      </c>
      <c r="D74" s="38" t="s">
        <v>440</v>
      </c>
      <c r="E74" s="122" t="s">
        <v>343</v>
      </c>
      <c r="F74" s="135" t="s">
        <v>407</v>
      </c>
      <c r="G74" s="38" t="s">
        <v>379</v>
      </c>
      <c r="H74" s="122" t="s">
        <v>346</v>
      </c>
      <c r="I74" s="41">
        <v>1</v>
      </c>
      <c r="J74" s="127" t="s">
        <v>526</v>
      </c>
      <c r="K74" s="38" t="s">
        <v>349</v>
      </c>
      <c r="L74" s="135" t="s">
        <v>407</v>
      </c>
    </row>
    <row r="75" spans="1:12" ht="69.75" customHeight="1">
      <c r="A75" s="38" t="s">
        <v>386</v>
      </c>
      <c r="B75" s="179" t="s">
        <v>521</v>
      </c>
      <c r="C75" s="127" t="s">
        <v>527</v>
      </c>
      <c r="D75" s="38" t="s">
        <v>440</v>
      </c>
      <c r="E75" s="38" t="s">
        <v>343</v>
      </c>
      <c r="F75" s="135" t="s">
        <v>407</v>
      </c>
      <c r="G75" s="38" t="s">
        <v>379</v>
      </c>
      <c r="H75" s="122" t="s">
        <v>346</v>
      </c>
      <c r="I75" s="41">
        <v>1</v>
      </c>
      <c r="J75" s="127" t="s">
        <v>528</v>
      </c>
      <c r="K75" s="38" t="s">
        <v>349</v>
      </c>
      <c r="L75" s="135" t="s">
        <v>407</v>
      </c>
    </row>
    <row r="76" spans="1:12" ht="75.75" customHeight="1">
      <c r="A76" s="38" t="s">
        <v>390</v>
      </c>
      <c r="B76" s="123" t="s">
        <v>521</v>
      </c>
      <c r="C76" s="127" t="s">
        <v>529</v>
      </c>
      <c r="D76" s="38" t="s">
        <v>440</v>
      </c>
      <c r="E76" s="38" t="s">
        <v>343</v>
      </c>
      <c r="F76" s="139" t="s">
        <v>407</v>
      </c>
      <c r="G76" s="38" t="s">
        <v>386</v>
      </c>
      <c r="H76" s="122" t="s">
        <v>346</v>
      </c>
      <c r="I76" s="41">
        <v>1</v>
      </c>
      <c r="J76" s="127" t="s">
        <v>530</v>
      </c>
      <c r="K76" s="38" t="s">
        <v>349</v>
      </c>
      <c r="L76" s="135" t="s">
        <v>407</v>
      </c>
    </row>
    <row r="77" spans="1:12" ht="72" customHeight="1">
      <c r="A77" s="38" t="s">
        <v>393</v>
      </c>
      <c r="B77" s="123" t="s">
        <v>521</v>
      </c>
      <c r="C77" s="127" t="s">
        <v>531</v>
      </c>
      <c r="D77" s="38" t="s">
        <v>440</v>
      </c>
      <c r="E77" s="38" t="s">
        <v>343</v>
      </c>
      <c r="F77" s="139" t="s">
        <v>407</v>
      </c>
      <c r="G77" s="38" t="s">
        <v>314</v>
      </c>
      <c r="H77" s="122" t="s">
        <v>346</v>
      </c>
      <c r="I77" s="41">
        <v>1</v>
      </c>
      <c r="J77" s="127" t="s">
        <v>532</v>
      </c>
      <c r="K77" s="38" t="s">
        <v>349</v>
      </c>
      <c r="L77" s="139" t="s">
        <v>407</v>
      </c>
    </row>
    <row r="78" spans="1:12" ht="76.5" customHeight="1">
      <c r="A78" s="38" t="s">
        <v>396</v>
      </c>
      <c r="B78" s="123" t="s">
        <v>521</v>
      </c>
      <c r="C78" s="127" t="s">
        <v>533</v>
      </c>
      <c r="D78" s="38" t="s">
        <v>440</v>
      </c>
      <c r="E78" s="38" t="s">
        <v>343</v>
      </c>
      <c r="F78" s="139" t="s">
        <v>407</v>
      </c>
      <c r="G78" s="38" t="s">
        <v>534</v>
      </c>
      <c r="H78" s="122" t="s">
        <v>346</v>
      </c>
      <c r="I78" s="41">
        <v>1</v>
      </c>
      <c r="J78" s="127" t="s">
        <v>535</v>
      </c>
      <c r="K78" s="38" t="s">
        <v>349</v>
      </c>
      <c r="L78" s="139" t="s">
        <v>407</v>
      </c>
    </row>
    <row r="79" spans="1:12" ht="82.5" customHeight="1">
      <c r="A79" s="38" t="s">
        <v>399</v>
      </c>
      <c r="B79" s="130" t="s">
        <v>536</v>
      </c>
      <c r="C79" s="127" t="s">
        <v>537</v>
      </c>
      <c r="D79" s="38" t="s">
        <v>440</v>
      </c>
      <c r="E79" s="38" t="s">
        <v>343</v>
      </c>
      <c r="F79" s="139" t="s">
        <v>407</v>
      </c>
      <c r="G79" s="38" t="s">
        <v>314</v>
      </c>
      <c r="H79" s="122" t="s">
        <v>346</v>
      </c>
      <c r="I79" s="41">
        <v>1</v>
      </c>
      <c r="J79" s="127" t="s">
        <v>538</v>
      </c>
      <c r="K79" s="38" t="s">
        <v>349</v>
      </c>
      <c r="L79" s="139" t="s">
        <v>407</v>
      </c>
    </row>
    <row r="80" spans="1:12" ht="79.5" customHeight="1">
      <c r="A80" s="38" t="s">
        <v>402</v>
      </c>
      <c r="B80" s="130" t="s">
        <v>536</v>
      </c>
      <c r="C80" s="127" t="s">
        <v>539</v>
      </c>
      <c r="D80" s="38" t="s">
        <v>440</v>
      </c>
      <c r="E80" s="38" t="s">
        <v>343</v>
      </c>
      <c r="F80" s="139" t="s">
        <v>407</v>
      </c>
      <c r="G80" s="38" t="s">
        <v>399</v>
      </c>
      <c r="H80" s="122" t="s">
        <v>346</v>
      </c>
      <c r="I80" s="41">
        <v>1</v>
      </c>
      <c r="J80" s="127" t="s">
        <v>540</v>
      </c>
      <c r="K80" s="38" t="s">
        <v>349</v>
      </c>
      <c r="L80" s="139" t="s">
        <v>407</v>
      </c>
    </row>
    <row r="81" spans="1:12" ht="72" customHeight="1">
      <c r="A81" s="38" t="s">
        <v>427</v>
      </c>
      <c r="B81" s="130" t="s">
        <v>536</v>
      </c>
      <c r="C81" s="127" t="s">
        <v>541</v>
      </c>
      <c r="D81" s="38" t="s">
        <v>440</v>
      </c>
      <c r="E81" s="38" t="s">
        <v>343</v>
      </c>
      <c r="F81" s="139" t="s">
        <v>407</v>
      </c>
      <c r="G81" s="38" t="s">
        <v>399</v>
      </c>
      <c r="H81" s="122" t="s">
        <v>346</v>
      </c>
      <c r="I81" s="41">
        <v>1</v>
      </c>
      <c r="J81" s="127" t="s">
        <v>542</v>
      </c>
      <c r="K81" s="38" t="s">
        <v>349</v>
      </c>
      <c r="L81" s="135" t="s">
        <v>407</v>
      </c>
    </row>
    <row r="82" spans="1:12" ht="87" customHeight="1">
      <c r="A82" s="38" t="s">
        <v>430</v>
      </c>
      <c r="B82" s="130" t="s">
        <v>536</v>
      </c>
      <c r="C82" s="127" t="s">
        <v>543</v>
      </c>
      <c r="D82" s="38" t="s">
        <v>440</v>
      </c>
      <c r="E82" s="122" t="s">
        <v>343</v>
      </c>
      <c r="F82" s="139" t="s">
        <v>407</v>
      </c>
      <c r="G82" s="38" t="s">
        <v>399</v>
      </c>
      <c r="H82" s="122" t="s">
        <v>346</v>
      </c>
      <c r="I82" s="41">
        <v>1</v>
      </c>
      <c r="J82" s="127" t="s">
        <v>544</v>
      </c>
      <c r="K82" s="38" t="s">
        <v>349</v>
      </c>
      <c r="L82" s="139" t="s">
        <v>407</v>
      </c>
    </row>
    <row r="83" spans="1:12" ht="68.25" customHeight="1">
      <c r="A83" s="38" t="s">
        <v>379</v>
      </c>
      <c r="B83" s="130" t="s">
        <v>545</v>
      </c>
      <c r="C83" s="127" t="s">
        <v>546</v>
      </c>
      <c r="D83" s="38" t="s">
        <v>311</v>
      </c>
      <c r="E83" s="38" t="s">
        <v>343</v>
      </c>
      <c r="F83" s="139" t="s">
        <v>344</v>
      </c>
      <c r="G83" s="38" t="s">
        <v>547</v>
      </c>
      <c r="H83" s="122" t="s">
        <v>346</v>
      </c>
      <c r="I83" s="41">
        <v>1</v>
      </c>
      <c r="J83" s="127" t="s">
        <v>548</v>
      </c>
      <c r="K83" s="38" t="s">
        <v>349</v>
      </c>
      <c r="L83" s="139" t="s">
        <v>361</v>
      </c>
    </row>
    <row r="84" spans="1:12" ht="74.25" customHeight="1">
      <c r="A84" s="38" t="s">
        <v>388</v>
      </c>
      <c r="B84" s="130" t="s">
        <v>545</v>
      </c>
      <c r="C84" s="127" t="s">
        <v>549</v>
      </c>
      <c r="D84" s="122" t="s">
        <v>311</v>
      </c>
      <c r="E84" s="38" t="s">
        <v>343</v>
      </c>
      <c r="F84" s="139" t="s">
        <v>550</v>
      </c>
      <c r="G84" s="38" t="s">
        <v>379</v>
      </c>
      <c r="H84" s="122" t="s">
        <v>346</v>
      </c>
      <c r="I84" s="41">
        <v>1</v>
      </c>
      <c r="J84" s="124" t="s">
        <v>551</v>
      </c>
      <c r="K84" s="38" t="s">
        <v>349</v>
      </c>
      <c r="L84" s="135" t="s">
        <v>361</v>
      </c>
    </row>
    <row r="85" spans="1:12" ht="70.5" customHeight="1">
      <c r="A85" s="38" t="s">
        <v>386</v>
      </c>
      <c r="B85" s="130" t="s">
        <v>545</v>
      </c>
      <c r="C85" s="127" t="s">
        <v>552</v>
      </c>
      <c r="D85" s="38" t="s">
        <v>311</v>
      </c>
      <c r="E85" s="38" t="s">
        <v>343</v>
      </c>
      <c r="F85" s="139" t="s">
        <v>344</v>
      </c>
      <c r="G85" s="38" t="s">
        <v>388</v>
      </c>
      <c r="H85" s="122" t="s">
        <v>346</v>
      </c>
      <c r="I85" s="41">
        <v>1</v>
      </c>
      <c r="J85" s="124" t="s">
        <v>553</v>
      </c>
      <c r="K85" s="38" t="s">
        <v>349</v>
      </c>
      <c r="L85" s="139" t="s">
        <v>361</v>
      </c>
    </row>
    <row r="86" spans="1:12" ht="93" customHeight="1">
      <c r="A86" s="38" t="s">
        <v>390</v>
      </c>
      <c r="B86" s="130" t="s">
        <v>545</v>
      </c>
      <c r="C86" s="127" t="s">
        <v>554</v>
      </c>
      <c r="D86" s="38" t="s">
        <v>311</v>
      </c>
      <c r="E86" s="38" t="s">
        <v>343</v>
      </c>
      <c r="F86" s="139" t="s">
        <v>344</v>
      </c>
      <c r="G86" s="38" t="s">
        <v>386</v>
      </c>
      <c r="H86" s="128" t="s">
        <v>346</v>
      </c>
      <c r="I86" s="41">
        <v>1</v>
      </c>
      <c r="J86" s="124" t="s">
        <v>555</v>
      </c>
      <c r="K86" s="38" t="s">
        <v>349</v>
      </c>
      <c r="L86" s="135" t="s">
        <v>361</v>
      </c>
    </row>
    <row r="87" spans="1:12" ht="72.75" customHeight="1">
      <c r="A87" s="38" t="s">
        <v>393</v>
      </c>
      <c r="B87" s="130" t="s">
        <v>545</v>
      </c>
      <c r="C87" s="127" t="s">
        <v>556</v>
      </c>
      <c r="D87" s="38" t="s">
        <v>311</v>
      </c>
      <c r="E87" s="38" t="s">
        <v>343</v>
      </c>
      <c r="F87" s="139" t="s">
        <v>344</v>
      </c>
      <c r="G87" s="38" t="s">
        <v>386</v>
      </c>
      <c r="H87" s="128" t="s">
        <v>346</v>
      </c>
      <c r="I87" s="41">
        <v>1</v>
      </c>
      <c r="J87" s="124" t="s">
        <v>557</v>
      </c>
      <c r="K87" s="38" t="s">
        <v>349</v>
      </c>
      <c r="L87" s="139" t="s">
        <v>361</v>
      </c>
    </row>
    <row r="88" spans="1:12" ht="69" customHeight="1">
      <c r="A88" s="38" t="s">
        <v>396</v>
      </c>
      <c r="B88" s="130" t="s">
        <v>545</v>
      </c>
      <c r="C88" s="127" t="s">
        <v>558</v>
      </c>
      <c r="D88" s="38" t="s">
        <v>311</v>
      </c>
      <c r="E88" s="38" t="s">
        <v>343</v>
      </c>
      <c r="F88" s="139" t="s">
        <v>344</v>
      </c>
      <c r="G88" s="38" t="s">
        <v>393</v>
      </c>
      <c r="H88" s="128" t="s">
        <v>346</v>
      </c>
      <c r="I88" s="41">
        <v>1</v>
      </c>
      <c r="J88" s="124" t="s">
        <v>559</v>
      </c>
      <c r="K88" s="38" t="s">
        <v>349</v>
      </c>
      <c r="L88" s="139" t="s">
        <v>361</v>
      </c>
    </row>
    <row r="89" spans="1:12" ht="84.75" customHeight="1">
      <c r="A89" s="38" t="s">
        <v>399</v>
      </c>
      <c r="B89" s="130" t="s">
        <v>545</v>
      </c>
      <c r="C89" s="127" t="s">
        <v>560</v>
      </c>
      <c r="D89" s="38" t="s">
        <v>311</v>
      </c>
      <c r="E89" s="38" t="s">
        <v>343</v>
      </c>
      <c r="F89" s="139" t="s">
        <v>344</v>
      </c>
      <c r="G89" s="38" t="s">
        <v>561</v>
      </c>
      <c r="H89" s="128" t="s">
        <v>346</v>
      </c>
      <c r="I89" s="41">
        <v>1</v>
      </c>
      <c r="J89" s="127" t="s">
        <v>562</v>
      </c>
      <c r="K89" s="38" t="s">
        <v>349</v>
      </c>
      <c r="L89" s="135" t="s">
        <v>361</v>
      </c>
    </row>
    <row r="90" spans="1:12" ht="73.5" customHeight="1">
      <c r="A90" s="38" t="s">
        <v>402</v>
      </c>
      <c r="B90" s="130" t="s">
        <v>563</v>
      </c>
      <c r="C90" s="127" t="s">
        <v>564</v>
      </c>
      <c r="D90" s="38" t="s">
        <v>311</v>
      </c>
      <c r="E90" s="38" t="s">
        <v>343</v>
      </c>
      <c r="F90" s="139" t="s">
        <v>344</v>
      </c>
      <c r="G90" s="38" t="s">
        <v>565</v>
      </c>
      <c r="H90" s="128" t="s">
        <v>346</v>
      </c>
      <c r="I90" s="41">
        <v>1</v>
      </c>
      <c r="J90" s="124" t="s">
        <v>566</v>
      </c>
      <c r="K90" s="38" t="s">
        <v>349</v>
      </c>
      <c r="L90" s="139" t="s">
        <v>361</v>
      </c>
    </row>
    <row r="91" spans="1:12" ht="76.5" customHeight="1">
      <c r="A91" s="38" t="s">
        <v>427</v>
      </c>
      <c r="B91" s="130" t="s">
        <v>563</v>
      </c>
      <c r="C91" s="127" t="s">
        <v>567</v>
      </c>
      <c r="D91" s="122" t="s">
        <v>311</v>
      </c>
      <c r="E91" s="38" t="s">
        <v>343</v>
      </c>
      <c r="F91" s="139" t="s">
        <v>344</v>
      </c>
      <c r="G91" s="38" t="s">
        <v>402</v>
      </c>
      <c r="H91" s="128" t="s">
        <v>346</v>
      </c>
      <c r="I91" s="41">
        <v>1</v>
      </c>
      <c r="J91" s="124" t="s">
        <v>568</v>
      </c>
      <c r="K91" s="38" t="s">
        <v>349</v>
      </c>
      <c r="L91" s="139" t="s">
        <v>361</v>
      </c>
    </row>
    <row r="92" spans="1:12" ht="83.25" customHeight="1">
      <c r="A92" s="38" t="s">
        <v>430</v>
      </c>
      <c r="B92" s="130" t="s">
        <v>563</v>
      </c>
      <c r="C92" s="127" t="s">
        <v>569</v>
      </c>
      <c r="D92" s="38" t="s">
        <v>311</v>
      </c>
      <c r="E92" s="38" t="s">
        <v>343</v>
      </c>
      <c r="F92" s="139" t="s">
        <v>344</v>
      </c>
      <c r="G92" s="38" t="s">
        <v>427</v>
      </c>
      <c r="H92" s="128" t="s">
        <v>346</v>
      </c>
      <c r="I92" s="41">
        <v>1</v>
      </c>
      <c r="J92" s="124" t="s">
        <v>570</v>
      </c>
      <c r="K92" s="38" t="s">
        <v>349</v>
      </c>
      <c r="L92" s="139" t="s">
        <v>361</v>
      </c>
    </row>
    <row r="93" spans="1:12" ht="76.5" customHeight="1">
      <c r="A93" s="38" t="s">
        <v>433</v>
      </c>
      <c r="B93" s="130" t="s">
        <v>563</v>
      </c>
      <c r="C93" s="127" t="s">
        <v>571</v>
      </c>
      <c r="D93" s="38" t="s">
        <v>311</v>
      </c>
      <c r="E93" s="38" t="s">
        <v>343</v>
      </c>
      <c r="F93" s="139" t="s">
        <v>344</v>
      </c>
      <c r="G93" s="38" t="s">
        <v>430</v>
      </c>
      <c r="H93" s="128" t="s">
        <v>346</v>
      </c>
      <c r="I93" s="41">
        <v>1</v>
      </c>
      <c r="J93" s="124" t="s">
        <v>572</v>
      </c>
      <c r="K93" s="38" t="s">
        <v>349</v>
      </c>
      <c r="L93" s="139" t="s">
        <v>361</v>
      </c>
    </row>
    <row r="94" spans="1:12" ht="70.5" customHeight="1">
      <c r="A94" s="38" t="s">
        <v>436</v>
      </c>
      <c r="B94" s="130" t="s">
        <v>563</v>
      </c>
      <c r="C94" s="127" t="s">
        <v>573</v>
      </c>
      <c r="D94" s="38" t="s">
        <v>311</v>
      </c>
      <c r="E94" s="38" t="s">
        <v>343</v>
      </c>
      <c r="F94" s="139" t="s">
        <v>344</v>
      </c>
      <c r="G94" s="38" t="s">
        <v>436</v>
      </c>
      <c r="H94" s="128" t="s">
        <v>346</v>
      </c>
      <c r="I94" s="41">
        <v>1</v>
      </c>
      <c r="J94" s="124" t="s">
        <v>574</v>
      </c>
      <c r="K94" s="38" t="s">
        <v>349</v>
      </c>
      <c r="L94" s="139" t="s">
        <v>361</v>
      </c>
    </row>
    <row r="95" spans="1:12" ht="72" customHeight="1">
      <c r="A95" s="38" t="s">
        <v>575</v>
      </c>
      <c r="B95" s="130" t="s">
        <v>576</v>
      </c>
      <c r="C95" s="127" t="s">
        <v>577</v>
      </c>
      <c r="D95" s="38" t="s">
        <v>311</v>
      </c>
      <c r="E95" s="122" t="s">
        <v>343</v>
      </c>
      <c r="F95" s="134" t="s">
        <v>407</v>
      </c>
      <c r="G95" s="38" t="s">
        <v>578</v>
      </c>
      <c r="H95" s="128" t="s">
        <v>346</v>
      </c>
      <c r="I95" s="180">
        <v>1</v>
      </c>
      <c r="J95" s="120" t="s">
        <v>579</v>
      </c>
      <c r="K95" s="122" t="s">
        <v>349</v>
      </c>
      <c r="L95" s="139" t="s">
        <v>407</v>
      </c>
    </row>
    <row r="96" spans="1:12" ht="79.5" customHeight="1">
      <c r="A96" s="38" t="s">
        <v>580</v>
      </c>
      <c r="B96" s="130" t="s">
        <v>581</v>
      </c>
      <c r="C96" s="127" t="s">
        <v>582</v>
      </c>
      <c r="D96" s="38" t="s">
        <v>311</v>
      </c>
      <c r="E96" s="122" t="s">
        <v>343</v>
      </c>
      <c r="F96" s="134" t="s">
        <v>407</v>
      </c>
      <c r="G96" s="129" t="s">
        <v>578</v>
      </c>
      <c r="H96" s="128" t="s">
        <v>346</v>
      </c>
      <c r="I96" s="180">
        <v>1</v>
      </c>
      <c r="J96" s="120" t="s">
        <v>583</v>
      </c>
      <c r="K96" s="122" t="s">
        <v>349</v>
      </c>
      <c r="L96" s="134" t="s">
        <v>407</v>
      </c>
    </row>
    <row r="97" spans="1:12" ht="81" customHeight="1">
      <c r="A97" s="38" t="s">
        <v>584</v>
      </c>
      <c r="B97" s="130" t="s">
        <v>581</v>
      </c>
      <c r="C97" s="127" t="s">
        <v>585</v>
      </c>
      <c r="D97" s="38" t="s">
        <v>311</v>
      </c>
      <c r="E97" s="38" t="s">
        <v>343</v>
      </c>
      <c r="F97" s="134" t="s">
        <v>407</v>
      </c>
      <c r="G97" s="129" t="s">
        <v>578</v>
      </c>
      <c r="H97" s="128" t="s">
        <v>346</v>
      </c>
      <c r="I97" s="180">
        <v>1</v>
      </c>
      <c r="J97" s="120" t="s">
        <v>586</v>
      </c>
      <c r="K97" s="122" t="s">
        <v>349</v>
      </c>
      <c r="L97" s="134" t="s">
        <v>407</v>
      </c>
    </row>
    <row r="98" spans="1:12" ht="87" customHeight="1">
      <c r="A98" s="38" t="s">
        <v>587</v>
      </c>
      <c r="B98" s="130" t="s">
        <v>581</v>
      </c>
      <c r="C98" s="127" t="s">
        <v>588</v>
      </c>
      <c r="D98" s="38" t="s">
        <v>311</v>
      </c>
      <c r="E98" s="38" t="s">
        <v>343</v>
      </c>
      <c r="F98" s="134" t="s">
        <v>407</v>
      </c>
      <c r="G98" s="129" t="s">
        <v>578</v>
      </c>
      <c r="H98" s="128" t="s">
        <v>346</v>
      </c>
      <c r="I98" s="180">
        <v>1</v>
      </c>
      <c r="J98" s="120" t="s">
        <v>589</v>
      </c>
      <c r="K98" s="122" t="s">
        <v>349</v>
      </c>
      <c r="L98" s="134" t="s">
        <v>407</v>
      </c>
    </row>
    <row r="99" spans="1:12" ht="71.25" customHeight="1">
      <c r="A99" s="38" t="s">
        <v>590</v>
      </c>
      <c r="B99" s="130" t="s">
        <v>581</v>
      </c>
      <c r="C99" s="127" t="s">
        <v>591</v>
      </c>
      <c r="D99" s="38" t="s">
        <v>311</v>
      </c>
      <c r="E99" s="38" t="s">
        <v>343</v>
      </c>
      <c r="F99" s="134" t="s">
        <v>407</v>
      </c>
      <c r="G99" s="129" t="s">
        <v>578</v>
      </c>
      <c r="H99" s="128" t="s">
        <v>346</v>
      </c>
      <c r="I99" s="180">
        <v>1</v>
      </c>
      <c r="J99" s="120" t="s">
        <v>592</v>
      </c>
      <c r="K99" s="122" t="s">
        <v>349</v>
      </c>
      <c r="L99" s="134" t="s">
        <v>407</v>
      </c>
    </row>
    <row r="100" spans="1:12" ht="71.25" customHeight="1">
      <c r="A100" s="38" t="s">
        <v>593</v>
      </c>
      <c r="B100" s="130" t="s">
        <v>149</v>
      </c>
      <c r="C100" s="127" t="s">
        <v>594</v>
      </c>
      <c r="D100" s="38" t="s">
        <v>311</v>
      </c>
      <c r="E100" s="38" t="s">
        <v>343</v>
      </c>
      <c r="F100" s="139" t="s">
        <v>595</v>
      </c>
      <c r="G100" s="129" t="s">
        <v>578</v>
      </c>
      <c r="H100" s="128" t="s">
        <v>346</v>
      </c>
      <c r="I100" s="180">
        <v>1</v>
      </c>
      <c r="J100" s="120" t="s">
        <v>596</v>
      </c>
      <c r="K100" s="122" t="s">
        <v>349</v>
      </c>
      <c r="L100" s="139" t="s">
        <v>595</v>
      </c>
    </row>
    <row r="101" spans="1:12" ht="72.75" customHeight="1">
      <c r="A101" s="38" t="s">
        <v>597</v>
      </c>
      <c r="B101" s="130" t="s">
        <v>149</v>
      </c>
      <c r="C101" s="127" t="s">
        <v>598</v>
      </c>
      <c r="D101" s="38" t="s">
        <v>311</v>
      </c>
      <c r="E101" s="38" t="s">
        <v>343</v>
      </c>
      <c r="F101" s="139" t="s">
        <v>595</v>
      </c>
      <c r="G101" s="129" t="s">
        <v>578</v>
      </c>
      <c r="H101" s="128" t="s">
        <v>346</v>
      </c>
      <c r="I101" s="180">
        <v>1</v>
      </c>
      <c r="J101" s="120" t="s">
        <v>599</v>
      </c>
      <c r="K101" s="122" t="s">
        <v>349</v>
      </c>
      <c r="L101" s="139" t="s">
        <v>595</v>
      </c>
    </row>
    <row r="102" spans="1:12" ht="81" customHeight="1">
      <c r="A102" s="38" t="s">
        <v>600</v>
      </c>
      <c r="B102" s="130" t="s">
        <v>149</v>
      </c>
      <c r="C102" s="127" t="s">
        <v>601</v>
      </c>
      <c r="D102" s="38" t="s">
        <v>311</v>
      </c>
      <c r="E102" s="38" t="s">
        <v>343</v>
      </c>
      <c r="F102" s="139" t="s">
        <v>595</v>
      </c>
      <c r="G102" s="129" t="s">
        <v>578</v>
      </c>
      <c r="H102" s="128" t="s">
        <v>346</v>
      </c>
      <c r="I102" s="180">
        <v>1</v>
      </c>
      <c r="J102" s="120" t="s">
        <v>602</v>
      </c>
      <c r="K102" s="122" t="s">
        <v>349</v>
      </c>
      <c r="L102" s="139" t="s">
        <v>595</v>
      </c>
    </row>
    <row r="103" spans="1:12" ht="75" customHeight="1">
      <c r="A103" s="38" t="s">
        <v>603</v>
      </c>
      <c r="B103" s="130" t="s">
        <v>149</v>
      </c>
      <c r="C103" s="127" t="s">
        <v>604</v>
      </c>
      <c r="D103" s="38" t="s">
        <v>311</v>
      </c>
      <c r="E103" s="38" t="s">
        <v>343</v>
      </c>
      <c r="F103" s="139" t="s">
        <v>595</v>
      </c>
      <c r="G103" s="129" t="s">
        <v>578</v>
      </c>
      <c r="H103" s="128" t="s">
        <v>346</v>
      </c>
      <c r="I103" s="180">
        <v>1</v>
      </c>
      <c r="J103" s="120" t="s">
        <v>605</v>
      </c>
      <c r="K103" s="122" t="s">
        <v>349</v>
      </c>
      <c r="L103" s="139" t="s">
        <v>595</v>
      </c>
    </row>
    <row r="104" spans="1:12" ht="92.25" customHeight="1">
      <c r="A104" s="38" t="s">
        <v>606</v>
      </c>
      <c r="B104" s="130" t="s">
        <v>149</v>
      </c>
      <c r="C104" s="127" t="s">
        <v>607</v>
      </c>
      <c r="D104" s="38" t="s">
        <v>311</v>
      </c>
      <c r="E104" s="38" t="s">
        <v>343</v>
      </c>
      <c r="F104" s="139" t="s">
        <v>595</v>
      </c>
      <c r="G104" s="129" t="s">
        <v>578</v>
      </c>
      <c r="H104" s="128" t="s">
        <v>346</v>
      </c>
      <c r="I104" s="180">
        <v>1</v>
      </c>
      <c r="J104" s="120" t="s">
        <v>608</v>
      </c>
      <c r="K104" s="122" t="s">
        <v>349</v>
      </c>
      <c r="L104" s="139" t="s">
        <v>595</v>
      </c>
    </row>
    <row r="105" spans="1:12" ht="66.75" customHeight="1">
      <c r="A105" s="38" t="s">
        <v>609</v>
      </c>
      <c r="B105" s="130" t="s">
        <v>149</v>
      </c>
      <c r="C105" s="127" t="s">
        <v>610</v>
      </c>
      <c r="D105" s="38" t="s">
        <v>311</v>
      </c>
      <c r="E105" s="122" t="s">
        <v>343</v>
      </c>
      <c r="F105" s="139" t="s">
        <v>595</v>
      </c>
      <c r="G105" s="129" t="s">
        <v>578</v>
      </c>
      <c r="H105" s="128" t="s">
        <v>346</v>
      </c>
      <c r="I105" s="180">
        <v>1</v>
      </c>
      <c r="J105" s="120" t="s">
        <v>611</v>
      </c>
      <c r="K105" s="122" t="s">
        <v>349</v>
      </c>
      <c r="L105" s="139" t="s">
        <v>595</v>
      </c>
    </row>
    <row r="106" spans="1:12" ht="75.75" customHeight="1">
      <c r="A106" s="38" t="s">
        <v>612</v>
      </c>
      <c r="B106" s="130" t="s">
        <v>149</v>
      </c>
      <c r="C106" s="127" t="s">
        <v>613</v>
      </c>
      <c r="D106" s="38" t="s">
        <v>311</v>
      </c>
      <c r="E106" s="38" t="s">
        <v>343</v>
      </c>
      <c r="F106" s="139" t="s">
        <v>595</v>
      </c>
      <c r="G106" s="129" t="s">
        <v>578</v>
      </c>
      <c r="H106" s="128" t="s">
        <v>346</v>
      </c>
      <c r="I106" s="180">
        <v>1</v>
      </c>
      <c r="J106" s="120" t="s">
        <v>614</v>
      </c>
      <c r="K106" s="122" t="s">
        <v>349</v>
      </c>
      <c r="L106" s="139" t="s">
        <v>595</v>
      </c>
    </row>
    <row r="107" spans="1:12" ht="12" customHeight="1">
      <c r="A107" s="181"/>
      <c r="B107" s="182"/>
      <c r="C107" s="183"/>
      <c r="D107" s="181"/>
      <c r="E107" s="181"/>
      <c r="F107" s="184"/>
      <c r="G107" s="185" t="s">
        <v>153</v>
      </c>
      <c r="H107" s="186"/>
      <c r="I107" s="187"/>
      <c r="J107" s="188"/>
      <c r="K107" s="181"/>
      <c r="L107" s="184"/>
    </row>
    <row r="108" spans="1:12" ht="61.5" customHeight="1">
      <c r="A108" s="189" t="s">
        <v>615</v>
      </c>
      <c r="B108" s="130" t="s">
        <v>616</v>
      </c>
      <c r="C108" s="130" t="s">
        <v>617</v>
      </c>
      <c r="D108" s="38" t="s">
        <v>311</v>
      </c>
      <c r="E108" s="147" t="s">
        <v>618</v>
      </c>
      <c r="F108" s="139" t="s">
        <v>619</v>
      </c>
      <c r="G108" s="38"/>
      <c r="H108" s="190" t="s">
        <v>620</v>
      </c>
      <c r="I108" s="191">
        <v>1</v>
      </c>
      <c r="J108" s="148" t="s">
        <v>621</v>
      </c>
      <c r="K108" s="147" t="s">
        <v>622</v>
      </c>
      <c r="L108" s="139" t="s">
        <v>619</v>
      </c>
    </row>
    <row r="109" spans="1:12" ht="47.25" customHeight="1">
      <c r="A109" s="189" t="s">
        <v>623</v>
      </c>
      <c r="B109" s="130" t="s">
        <v>616</v>
      </c>
      <c r="C109" s="130" t="s">
        <v>624</v>
      </c>
      <c r="D109" s="38" t="s">
        <v>311</v>
      </c>
      <c r="E109" s="147" t="s">
        <v>618</v>
      </c>
      <c r="F109" s="139" t="s">
        <v>619</v>
      </c>
      <c r="G109" s="142" t="s">
        <v>615</v>
      </c>
      <c r="H109" s="190" t="s">
        <v>620</v>
      </c>
      <c r="I109" s="191">
        <v>1</v>
      </c>
      <c r="J109" s="127" t="s">
        <v>625</v>
      </c>
      <c r="K109" s="147" t="s">
        <v>622</v>
      </c>
      <c r="L109" s="139" t="s">
        <v>619</v>
      </c>
    </row>
    <row r="110" spans="1:12" ht="58.5" customHeight="1">
      <c r="A110" s="189" t="s">
        <v>626</v>
      </c>
      <c r="B110" s="130" t="s">
        <v>616</v>
      </c>
      <c r="C110" s="130" t="s">
        <v>627</v>
      </c>
      <c r="D110" s="38" t="s">
        <v>311</v>
      </c>
      <c r="E110" s="147" t="s">
        <v>618</v>
      </c>
      <c r="F110" s="139" t="s">
        <v>619</v>
      </c>
      <c r="G110" s="142" t="s">
        <v>623</v>
      </c>
      <c r="H110" s="190" t="s">
        <v>620</v>
      </c>
      <c r="I110" s="191">
        <v>1</v>
      </c>
      <c r="J110" s="127" t="s">
        <v>628</v>
      </c>
      <c r="K110" s="147" t="s">
        <v>622</v>
      </c>
      <c r="L110" s="139" t="s">
        <v>619</v>
      </c>
    </row>
    <row r="111" spans="1:12" ht="51" customHeight="1">
      <c r="A111" s="189" t="s">
        <v>629</v>
      </c>
      <c r="B111" s="130" t="s">
        <v>616</v>
      </c>
      <c r="C111" s="130" t="s">
        <v>630</v>
      </c>
      <c r="D111" s="38" t="s">
        <v>311</v>
      </c>
      <c r="E111" s="147" t="s">
        <v>618</v>
      </c>
      <c r="F111" s="139" t="s">
        <v>619</v>
      </c>
      <c r="G111" s="142" t="s">
        <v>626</v>
      </c>
      <c r="H111" s="190" t="s">
        <v>620</v>
      </c>
      <c r="I111" s="191">
        <v>1</v>
      </c>
      <c r="J111" s="127" t="s">
        <v>631</v>
      </c>
      <c r="K111" s="147" t="s">
        <v>622</v>
      </c>
      <c r="L111" s="139" t="s">
        <v>619</v>
      </c>
    </row>
    <row r="112" spans="1:12" ht="41.25" customHeight="1">
      <c r="A112" s="189" t="s">
        <v>632</v>
      </c>
      <c r="B112" s="130" t="s">
        <v>616</v>
      </c>
      <c r="C112" s="130" t="s">
        <v>633</v>
      </c>
      <c r="D112" s="38" t="s">
        <v>311</v>
      </c>
      <c r="E112" s="147" t="s">
        <v>618</v>
      </c>
      <c r="F112" s="139" t="s">
        <v>619</v>
      </c>
      <c r="G112" s="142" t="s">
        <v>629</v>
      </c>
      <c r="H112" s="190" t="s">
        <v>620</v>
      </c>
      <c r="I112" s="191">
        <v>1</v>
      </c>
      <c r="J112" s="127" t="s">
        <v>634</v>
      </c>
      <c r="K112" s="147" t="s">
        <v>622</v>
      </c>
      <c r="L112" s="139" t="s">
        <v>619</v>
      </c>
    </row>
    <row r="113" spans="1:12" ht="45.75" customHeight="1">
      <c r="A113" s="189" t="s">
        <v>635</v>
      </c>
      <c r="B113" s="130" t="s">
        <v>616</v>
      </c>
      <c r="C113" s="130" t="s">
        <v>636</v>
      </c>
      <c r="D113" s="38" t="s">
        <v>311</v>
      </c>
      <c r="E113" s="147" t="s">
        <v>618</v>
      </c>
      <c r="F113" s="192" t="s">
        <v>637</v>
      </c>
      <c r="G113" s="142" t="s">
        <v>632</v>
      </c>
      <c r="H113" s="190" t="s">
        <v>620</v>
      </c>
      <c r="I113" s="191">
        <v>1</v>
      </c>
      <c r="J113" s="148" t="s">
        <v>638</v>
      </c>
      <c r="K113" s="147" t="s">
        <v>622</v>
      </c>
      <c r="L113" s="192" t="s">
        <v>637</v>
      </c>
    </row>
    <row r="114" spans="1:12" ht="107.25" customHeight="1">
      <c r="A114" s="145" t="s">
        <v>639</v>
      </c>
      <c r="B114" s="193" t="s">
        <v>640</v>
      </c>
      <c r="C114" s="164" t="s">
        <v>641</v>
      </c>
      <c r="D114" s="147" t="s">
        <v>311</v>
      </c>
      <c r="E114" s="147" t="s">
        <v>618</v>
      </c>
      <c r="F114" s="192" t="s">
        <v>642</v>
      </c>
      <c r="G114" s="147" t="s">
        <v>643</v>
      </c>
      <c r="H114" s="190" t="s">
        <v>620</v>
      </c>
      <c r="I114" s="191">
        <v>1</v>
      </c>
      <c r="J114" s="146" t="s">
        <v>644</v>
      </c>
      <c r="K114" s="147" t="s">
        <v>622</v>
      </c>
      <c r="L114" s="192" t="s">
        <v>637</v>
      </c>
    </row>
    <row r="115" spans="1:12" ht="88.5" customHeight="1">
      <c r="A115" s="145" t="s">
        <v>645</v>
      </c>
      <c r="B115" s="193" t="s">
        <v>640</v>
      </c>
      <c r="C115" s="146" t="s">
        <v>384</v>
      </c>
      <c r="D115" s="147" t="s">
        <v>311</v>
      </c>
      <c r="E115" s="147" t="s">
        <v>618</v>
      </c>
      <c r="F115" s="192" t="s">
        <v>642</v>
      </c>
      <c r="G115" s="147" t="s">
        <v>646</v>
      </c>
      <c r="H115" s="190" t="s">
        <v>620</v>
      </c>
      <c r="I115" s="191">
        <v>1</v>
      </c>
      <c r="J115" s="146" t="s">
        <v>647</v>
      </c>
      <c r="K115" s="147" t="s">
        <v>622</v>
      </c>
      <c r="L115" s="192" t="s">
        <v>637</v>
      </c>
    </row>
    <row r="116" spans="1:12" ht="55.5" customHeight="1">
      <c r="A116" s="145" t="s">
        <v>648</v>
      </c>
      <c r="B116" s="193" t="s">
        <v>640</v>
      </c>
      <c r="C116" s="146" t="s">
        <v>649</v>
      </c>
      <c r="D116" s="147" t="s">
        <v>311</v>
      </c>
      <c r="E116" s="147" t="s">
        <v>618</v>
      </c>
      <c r="F116" s="192" t="s">
        <v>642</v>
      </c>
      <c r="G116" s="147" t="s">
        <v>645</v>
      </c>
      <c r="H116" s="190" t="s">
        <v>620</v>
      </c>
      <c r="I116" s="191">
        <v>1</v>
      </c>
      <c r="J116" s="146" t="s">
        <v>650</v>
      </c>
      <c r="K116" s="147" t="s">
        <v>622</v>
      </c>
      <c r="L116" s="192" t="s">
        <v>637</v>
      </c>
    </row>
    <row r="117" spans="1:12" ht="105.75" customHeight="1">
      <c r="A117" s="145" t="s">
        <v>651</v>
      </c>
      <c r="B117" s="193" t="s">
        <v>640</v>
      </c>
      <c r="C117" s="146" t="s">
        <v>652</v>
      </c>
      <c r="D117" s="147" t="s">
        <v>311</v>
      </c>
      <c r="E117" s="147" t="s">
        <v>618</v>
      </c>
      <c r="F117" s="192" t="s">
        <v>642</v>
      </c>
      <c r="G117" s="147" t="s">
        <v>648</v>
      </c>
      <c r="H117" s="190" t="s">
        <v>620</v>
      </c>
      <c r="I117" s="191">
        <v>1</v>
      </c>
      <c r="J117" s="146" t="s">
        <v>653</v>
      </c>
      <c r="K117" s="147" t="s">
        <v>622</v>
      </c>
      <c r="L117" s="192" t="s">
        <v>637</v>
      </c>
    </row>
    <row r="118" spans="1:12" ht="97.5" customHeight="1">
      <c r="A118" s="145" t="s">
        <v>654</v>
      </c>
      <c r="B118" s="193" t="s">
        <v>640</v>
      </c>
      <c r="C118" s="146" t="s">
        <v>655</v>
      </c>
      <c r="D118" s="147" t="s">
        <v>311</v>
      </c>
      <c r="E118" s="147" t="s">
        <v>618</v>
      </c>
      <c r="F118" s="192" t="s">
        <v>642</v>
      </c>
      <c r="G118" s="147" t="s">
        <v>651</v>
      </c>
      <c r="H118" s="190" t="s">
        <v>620</v>
      </c>
      <c r="I118" s="191">
        <v>1</v>
      </c>
      <c r="J118" s="146" t="s">
        <v>656</v>
      </c>
      <c r="K118" s="147" t="s">
        <v>622</v>
      </c>
      <c r="L118" s="192" t="s">
        <v>637</v>
      </c>
    </row>
    <row r="119" spans="1:12" ht="103.5" customHeight="1">
      <c r="A119" s="145" t="s">
        <v>657</v>
      </c>
      <c r="B119" s="193" t="s">
        <v>640</v>
      </c>
      <c r="C119" s="146" t="s">
        <v>658</v>
      </c>
      <c r="D119" s="147" t="s">
        <v>311</v>
      </c>
      <c r="E119" s="147" t="s">
        <v>618</v>
      </c>
      <c r="F119" s="192" t="s">
        <v>642</v>
      </c>
      <c r="G119" s="147" t="s">
        <v>654</v>
      </c>
      <c r="H119" s="190" t="s">
        <v>620</v>
      </c>
      <c r="I119" s="191">
        <v>1</v>
      </c>
      <c r="J119" s="194" t="s">
        <v>659</v>
      </c>
      <c r="K119" s="147" t="s">
        <v>622</v>
      </c>
      <c r="L119" s="192" t="s">
        <v>637</v>
      </c>
    </row>
    <row r="120" spans="1:12" ht="75" customHeight="1">
      <c r="A120" s="149" t="s">
        <v>660</v>
      </c>
      <c r="B120" s="130" t="s">
        <v>661</v>
      </c>
      <c r="C120" s="127" t="s">
        <v>662</v>
      </c>
      <c r="D120" s="38" t="s">
        <v>311</v>
      </c>
      <c r="E120" s="147" t="s">
        <v>618</v>
      </c>
      <c r="F120" s="139" t="s">
        <v>407</v>
      </c>
      <c r="G120" s="38"/>
      <c r="H120" s="190" t="s">
        <v>620</v>
      </c>
      <c r="I120" s="191">
        <v>1</v>
      </c>
      <c r="J120" s="127" t="s">
        <v>663</v>
      </c>
      <c r="K120" s="147" t="s">
        <v>622</v>
      </c>
      <c r="L120" s="139" t="s">
        <v>407</v>
      </c>
    </row>
    <row r="121" spans="1:12" ht="83.25" customHeight="1">
      <c r="A121" s="149" t="s">
        <v>664</v>
      </c>
      <c r="B121" s="130" t="s">
        <v>661</v>
      </c>
      <c r="C121" s="127" t="s">
        <v>665</v>
      </c>
      <c r="D121" s="38" t="s">
        <v>311</v>
      </c>
      <c r="E121" s="147" t="s">
        <v>618</v>
      </c>
      <c r="F121" s="139" t="s">
        <v>407</v>
      </c>
      <c r="G121" s="38" t="s">
        <v>666</v>
      </c>
      <c r="H121" s="190" t="s">
        <v>620</v>
      </c>
      <c r="I121" s="191">
        <v>1</v>
      </c>
      <c r="J121" s="127" t="s">
        <v>667</v>
      </c>
      <c r="K121" s="147" t="s">
        <v>622</v>
      </c>
      <c r="L121" s="139" t="s">
        <v>407</v>
      </c>
    </row>
    <row r="122" spans="1:12" ht="117" customHeight="1">
      <c r="A122" s="149" t="s">
        <v>668</v>
      </c>
      <c r="B122" s="130" t="s">
        <v>661</v>
      </c>
      <c r="C122" s="148" t="s">
        <v>669</v>
      </c>
      <c r="D122" s="38" t="s">
        <v>311</v>
      </c>
      <c r="E122" s="147" t="s">
        <v>618</v>
      </c>
      <c r="F122" s="139" t="s">
        <v>407</v>
      </c>
      <c r="G122" s="38" t="s">
        <v>664</v>
      </c>
      <c r="H122" s="190" t="s">
        <v>620</v>
      </c>
      <c r="I122" s="191">
        <v>1</v>
      </c>
      <c r="J122" s="127" t="s">
        <v>670</v>
      </c>
      <c r="K122" s="147" t="s">
        <v>622</v>
      </c>
      <c r="L122" s="139" t="s">
        <v>407</v>
      </c>
    </row>
    <row r="123" spans="1:12" ht="91.5" customHeight="1">
      <c r="A123" s="149" t="s">
        <v>671</v>
      </c>
      <c r="B123" s="130" t="s">
        <v>661</v>
      </c>
      <c r="C123" s="127" t="s">
        <v>413</v>
      </c>
      <c r="D123" s="38" t="s">
        <v>311</v>
      </c>
      <c r="E123" s="147" t="s">
        <v>618</v>
      </c>
      <c r="F123" s="139" t="s">
        <v>407</v>
      </c>
      <c r="G123" s="38" t="s">
        <v>668</v>
      </c>
      <c r="H123" s="190" t="s">
        <v>620</v>
      </c>
      <c r="I123" s="191">
        <v>1</v>
      </c>
      <c r="J123" s="127" t="s">
        <v>672</v>
      </c>
      <c r="K123" s="147" t="s">
        <v>622</v>
      </c>
      <c r="L123" s="139" t="s">
        <v>407</v>
      </c>
    </row>
    <row r="124" spans="1:12" ht="91.5" customHeight="1">
      <c r="A124" s="149" t="s">
        <v>673</v>
      </c>
      <c r="B124" s="130" t="s">
        <v>661</v>
      </c>
      <c r="C124" s="127" t="s">
        <v>674</v>
      </c>
      <c r="D124" s="38" t="s">
        <v>311</v>
      </c>
      <c r="E124" s="147" t="s">
        <v>618</v>
      </c>
      <c r="F124" s="139" t="s">
        <v>407</v>
      </c>
      <c r="G124" s="38" t="s">
        <v>671</v>
      </c>
      <c r="H124" s="190" t="s">
        <v>620</v>
      </c>
      <c r="I124" s="191">
        <v>1</v>
      </c>
      <c r="J124" s="127" t="s">
        <v>675</v>
      </c>
      <c r="K124" s="147" t="s">
        <v>622</v>
      </c>
      <c r="L124" s="139" t="s">
        <v>407</v>
      </c>
    </row>
    <row r="125" spans="1:12" ht="100.5" customHeight="1">
      <c r="A125" s="149" t="s">
        <v>676</v>
      </c>
      <c r="B125" s="130" t="s">
        <v>661</v>
      </c>
      <c r="C125" s="127" t="s">
        <v>677</v>
      </c>
      <c r="D125" s="38" t="s">
        <v>311</v>
      </c>
      <c r="E125" s="147" t="s">
        <v>618</v>
      </c>
      <c r="F125" s="139" t="s">
        <v>407</v>
      </c>
      <c r="G125" s="38" t="s">
        <v>673</v>
      </c>
      <c r="H125" s="190" t="s">
        <v>620</v>
      </c>
      <c r="I125" s="191">
        <v>1</v>
      </c>
      <c r="J125" s="127" t="s">
        <v>678</v>
      </c>
      <c r="K125" s="147" t="s">
        <v>622</v>
      </c>
      <c r="L125" s="139" t="s">
        <v>407</v>
      </c>
    </row>
    <row r="126" spans="1:12" ht="74.25" customHeight="1">
      <c r="A126" s="149" t="s">
        <v>679</v>
      </c>
      <c r="B126" s="130" t="s">
        <v>661</v>
      </c>
      <c r="C126" s="127" t="s">
        <v>680</v>
      </c>
      <c r="D126" s="38" t="s">
        <v>311</v>
      </c>
      <c r="E126" s="147" t="s">
        <v>618</v>
      </c>
      <c r="F126" s="139" t="s">
        <v>407</v>
      </c>
      <c r="G126" s="38" t="s">
        <v>681</v>
      </c>
      <c r="H126" s="190" t="s">
        <v>620</v>
      </c>
      <c r="I126" s="191">
        <v>1</v>
      </c>
      <c r="J126" s="127" t="s">
        <v>682</v>
      </c>
      <c r="K126" s="147" t="s">
        <v>622</v>
      </c>
      <c r="L126" s="139" t="s">
        <v>407</v>
      </c>
    </row>
    <row r="127" spans="1:12" ht="108" customHeight="1">
      <c r="A127" s="195" t="s">
        <v>683</v>
      </c>
      <c r="B127" s="130" t="s">
        <v>684</v>
      </c>
      <c r="C127" s="127" t="s">
        <v>685</v>
      </c>
      <c r="D127" s="38" t="s">
        <v>311</v>
      </c>
      <c r="E127" s="147" t="s">
        <v>618</v>
      </c>
      <c r="F127" s="139" t="s">
        <v>407</v>
      </c>
      <c r="G127" s="38" t="s">
        <v>686</v>
      </c>
      <c r="H127" s="190" t="s">
        <v>620</v>
      </c>
      <c r="I127" s="191">
        <v>1</v>
      </c>
      <c r="J127" s="127" t="s">
        <v>687</v>
      </c>
      <c r="K127" s="147" t="s">
        <v>622</v>
      </c>
      <c r="L127" s="139" t="s">
        <v>407</v>
      </c>
    </row>
    <row r="128" spans="1:12" ht="92.25" customHeight="1">
      <c r="A128" s="195" t="s">
        <v>688</v>
      </c>
      <c r="B128" s="130" t="s">
        <v>684</v>
      </c>
      <c r="C128" s="127" t="s">
        <v>689</v>
      </c>
      <c r="D128" s="38" t="s">
        <v>311</v>
      </c>
      <c r="E128" s="147" t="s">
        <v>618</v>
      </c>
      <c r="F128" s="139" t="s">
        <v>407</v>
      </c>
      <c r="G128" s="38" t="s">
        <v>690</v>
      </c>
      <c r="H128" s="190" t="s">
        <v>620</v>
      </c>
      <c r="I128" s="191">
        <v>1</v>
      </c>
      <c r="J128" s="127" t="s">
        <v>691</v>
      </c>
      <c r="K128" s="147" t="s">
        <v>622</v>
      </c>
      <c r="L128" s="139" t="s">
        <v>407</v>
      </c>
    </row>
    <row r="129" spans="1:12" ht="106.5" customHeight="1">
      <c r="A129" s="195" t="s">
        <v>692</v>
      </c>
      <c r="B129" s="130" t="s">
        <v>684</v>
      </c>
      <c r="C129" s="127" t="s">
        <v>425</v>
      </c>
      <c r="D129" s="38" t="s">
        <v>311</v>
      </c>
      <c r="E129" s="147" t="s">
        <v>618</v>
      </c>
      <c r="F129" s="139" t="s">
        <v>407</v>
      </c>
      <c r="G129" s="38" t="s">
        <v>688</v>
      </c>
      <c r="H129" s="190" t="s">
        <v>620</v>
      </c>
      <c r="I129" s="191">
        <v>1</v>
      </c>
      <c r="J129" s="127" t="s">
        <v>693</v>
      </c>
      <c r="K129" s="147" t="s">
        <v>622</v>
      </c>
      <c r="L129" s="139" t="s">
        <v>407</v>
      </c>
    </row>
    <row r="130" spans="1:12" ht="63.75" customHeight="1">
      <c r="A130" s="195" t="s">
        <v>694</v>
      </c>
      <c r="B130" s="130" t="s">
        <v>684</v>
      </c>
      <c r="C130" s="127" t="s">
        <v>695</v>
      </c>
      <c r="D130" s="38" t="s">
        <v>311</v>
      </c>
      <c r="E130" s="147" t="s">
        <v>618</v>
      </c>
      <c r="F130" s="139" t="s">
        <v>407</v>
      </c>
      <c r="G130" s="38" t="s">
        <v>692</v>
      </c>
      <c r="H130" s="190" t="s">
        <v>620</v>
      </c>
      <c r="I130" s="191">
        <v>1</v>
      </c>
      <c r="J130" s="127" t="s">
        <v>696</v>
      </c>
      <c r="K130" s="147" t="s">
        <v>622</v>
      </c>
      <c r="L130" s="139" t="s">
        <v>407</v>
      </c>
    </row>
    <row r="131" spans="1:12" ht="57.75" customHeight="1">
      <c r="A131" s="195" t="s">
        <v>697</v>
      </c>
      <c r="B131" s="130" t="s">
        <v>684</v>
      </c>
      <c r="C131" s="127" t="s">
        <v>428</v>
      </c>
      <c r="D131" s="38" t="s">
        <v>311</v>
      </c>
      <c r="E131" s="147" t="s">
        <v>618</v>
      </c>
      <c r="F131" s="139" t="s">
        <v>407</v>
      </c>
      <c r="G131" s="38" t="s">
        <v>694</v>
      </c>
      <c r="H131" s="190" t="s">
        <v>620</v>
      </c>
      <c r="I131" s="191">
        <v>1</v>
      </c>
      <c r="J131" s="127" t="s">
        <v>698</v>
      </c>
      <c r="K131" s="147" t="s">
        <v>622</v>
      </c>
      <c r="L131" s="139" t="s">
        <v>407</v>
      </c>
    </row>
    <row r="132" spans="1:12" ht="83.25" customHeight="1">
      <c r="A132" s="195" t="s">
        <v>699</v>
      </c>
      <c r="B132" s="130" t="s">
        <v>684</v>
      </c>
      <c r="C132" s="127" t="s">
        <v>700</v>
      </c>
      <c r="D132" s="38" t="s">
        <v>311</v>
      </c>
      <c r="E132" s="147" t="s">
        <v>618</v>
      </c>
      <c r="F132" s="139" t="s">
        <v>407</v>
      </c>
      <c r="G132" s="38" t="s">
        <v>697</v>
      </c>
      <c r="H132" s="190" t="s">
        <v>620</v>
      </c>
      <c r="I132" s="191">
        <v>1</v>
      </c>
      <c r="J132" s="127" t="s">
        <v>701</v>
      </c>
      <c r="K132" s="147" t="s">
        <v>622</v>
      </c>
      <c r="L132" s="139" t="s">
        <v>407</v>
      </c>
    </row>
    <row r="133" spans="1:12" ht="66" customHeight="1">
      <c r="A133" s="195" t="s">
        <v>702</v>
      </c>
      <c r="B133" s="130" t="s">
        <v>684</v>
      </c>
      <c r="C133" s="127" t="s">
        <v>703</v>
      </c>
      <c r="D133" s="38" t="s">
        <v>311</v>
      </c>
      <c r="E133" s="147" t="s">
        <v>618</v>
      </c>
      <c r="F133" s="139" t="s">
        <v>407</v>
      </c>
      <c r="G133" s="38" t="s">
        <v>699</v>
      </c>
      <c r="H133" s="190" t="s">
        <v>620</v>
      </c>
      <c r="I133" s="191">
        <v>1</v>
      </c>
      <c r="J133" s="127" t="s">
        <v>704</v>
      </c>
      <c r="K133" s="147" t="s">
        <v>622</v>
      </c>
      <c r="L133" s="139" t="s">
        <v>407</v>
      </c>
    </row>
    <row r="134" spans="1:12" ht="66" customHeight="1">
      <c r="A134" s="195" t="s">
        <v>705</v>
      </c>
      <c r="B134" s="130" t="s">
        <v>684</v>
      </c>
      <c r="C134" s="127" t="s">
        <v>706</v>
      </c>
      <c r="D134" s="38" t="s">
        <v>311</v>
      </c>
      <c r="E134" s="147" t="s">
        <v>618</v>
      </c>
      <c r="F134" s="139" t="s">
        <v>407</v>
      </c>
      <c r="G134" s="38" t="s">
        <v>702</v>
      </c>
      <c r="H134" s="190" t="s">
        <v>620</v>
      </c>
      <c r="I134" s="191">
        <v>1</v>
      </c>
      <c r="J134" s="127" t="s">
        <v>707</v>
      </c>
      <c r="K134" s="147" t="s">
        <v>622</v>
      </c>
      <c r="L134" s="139" t="s">
        <v>407</v>
      </c>
    </row>
    <row r="135" spans="1:12" ht="77.25" customHeight="1">
      <c r="A135" s="195" t="s">
        <v>708</v>
      </c>
      <c r="B135" s="130" t="s">
        <v>709</v>
      </c>
      <c r="C135" s="148" t="s">
        <v>710</v>
      </c>
      <c r="D135" s="38" t="s">
        <v>311</v>
      </c>
      <c r="E135" s="147" t="s">
        <v>618</v>
      </c>
      <c r="F135" s="139" t="s">
        <v>407</v>
      </c>
      <c r="G135" s="38" t="s">
        <v>705</v>
      </c>
      <c r="H135" s="190" t="s">
        <v>620</v>
      </c>
      <c r="I135" s="191">
        <v>1</v>
      </c>
      <c r="J135" s="148" t="s">
        <v>711</v>
      </c>
      <c r="K135" s="147" t="s">
        <v>622</v>
      </c>
      <c r="L135" s="139" t="s">
        <v>407</v>
      </c>
    </row>
    <row r="136" spans="1:12" ht="65.25" customHeight="1">
      <c r="A136" s="195" t="s">
        <v>712</v>
      </c>
      <c r="B136" s="130" t="s">
        <v>684</v>
      </c>
      <c r="C136" s="127" t="s">
        <v>377</v>
      </c>
      <c r="D136" s="38" t="s">
        <v>311</v>
      </c>
      <c r="E136" s="147" t="s">
        <v>618</v>
      </c>
      <c r="F136" s="139" t="s">
        <v>407</v>
      </c>
      <c r="G136" s="38" t="s">
        <v>708</v>
      </c>
      <c r="H136" s="190" t="s">
        <v>620</v>
      </c>
      <c r="I136" s="191">
        <v>1</v>
      </c>
      <c r="J136" s="127" t="s">
        <v>713</v>
      </c>
      <c r="K136" s="147" t="s">
        <v>622</v>
      </c>
      <c r="L136" s="139" t="s">
        <v>407</v>
      </c>
    </row>
    <row r="137" spans="1:12" ht="72.75" customHeight="1">
      <c r="A137" s="38" t="s">
        <v>714</v>
      </c>
      <c r="B137" s="130" t="s">
        <v>715</v>
      </c>
      <c r="C137" s="130" t="s">
        <v>716</v>
      </c>
      <c r="D137" s="38" t="s">
        <v>311</v>
      </c>
      <c r="E137" s="122" t="s">
        <v>618</v>
      </c>
      <c r="F137" s="139" t="s">
        <v>717</v>
      </c>
      <c r="G137" s="38"/>
      <c r="H137" s="122" t="s">
        <v>355</v>
      </c>
      <c r="I137" s="41">
        <v>1</v>
      </c>
      <c r="J137" s="152" t="s">
        <v>718</v>
      </c>
      <c r="K137" s="38" t="s">
        <v>349</v>
      </c>
      <c r="L137" s="139" t="s">
        <v>717</v>
      </c>
    </row>
    <row r="138" spans="1:12" ht="59.25" customHeight="1">
      <c r="A138" s="38" t="s">
        <v>719</v>
      </c>
      <c r="B138" s="130" t="s">
        <v>720</v>
      </c>
      <c r="C138" s="130" t="s">
        <v>721</v>
      </c>
      <c r="D138" s="38" t="s">
        <v>311</v>
      </c>
      <c r="E138" s="122" t="s">
        <v>618</v>
      </c>
      <c r="F138" s="139" t="s">
        <v>717</v>
      </c>
      <c r="G138" s="38" t="s">
        <v>722</v>
      </c>
      <c r="H138" s="122" t="s">
        <v>355</v>
      </c>
      <c r="I138" s="41">
        <v>1</v>
      </c>
      <c r="J138" s="152" t="s">
        <v>723</v>
      </c>
      <c r="K138" s="38" t="s">
        <v>349</v>
      </c>
      <c r="L138" s="139" t="s">
        <v>717</v>
      </c>
    </row>
    <row r="139" spans="1:12" ht="63" customHeight="1">
      <c r="A139" s="38" t="s">
        <v>724</v>
      </c>
      <c r="B139" s="130" t="s">
        <v>720</v>
      </c>
      <c r="C139" s="130" t="s">
        <v>725</v>
      </c>
      <c r="D139" s="38" t="s">
        <v>311</v>
      </c>
      <c r="E139" s="122" t="s">
        <v>618</v>
      </c>
      <c r="F139" s="139" t="s">
        <v>717</v>
      </c>
      <c r="G139" s="38" t="s">
        <v>726</v>
      </c>
      <c r="H139" s="122" t="s">
        <v>355</v>
      </c>
      <c r="I139" s="41">
        <v>1</v>
      </c>
      <c r="J139" s="152" t="s">
        <v>727</v>
      </c>
      <c r="K139" s="38" t="s">
        <v>349</v>
      </c>
      <c r="L139" s="139" t="s">
        <v>717</v>
      </c>
    </row>
    <row r="140" spans="1:12" ht="51.75" customHeight="1">
      <c r="A140" s="38" t="s">
        <v>728</v>
      </c>
      <c r="B140" s="130" t="s">
        <v>720</v>
      </c>
      <c r="C140" s="130" t="s">
        <v>729</v>
      </c>
      <c r="D140" s="38" t="s">
        <v>311</v>
      </c>
      <c r="E140" s="122" t="s">
        <v>618</v>
      </c>
      <c r="F140" s="139" t="s">
        <v>717</v>
      </c>
      <c r="G140" s="38" t="s">
        <v>730</v>
      </c>
      <c r="H140" s="122" t="s">
        <v>355</v>
      </c>
      <c r="I140" s="41">
        <v>1</v>
      </c>
      <c r="J140" s="152" t="s">
        <v>731</v>
      </c>
      <c r="K140" s="38" t="s">
        <v>349</v>
      </c>
      <c r="L140" s="139" t="s">
        <v>717</v>
      </c>
    </row>
    <row r="141" spans="1:12" ht="89.25" customHeight="1">
      <c r="A141" s="38" t="s">
        <v>732</v>
      </c>
      <c r="B141" s="130" t="s">
        <v>720</v>
      </c>
      <c r="C141" s="130" t="s">
        <v>733</v>
      </c>
      <c r="D141" s="38" t="s">
        <v>311</v>
      </c>
      <c r="E141" s="122" t="s">
        <v>618</v>
      </c>
      <c r="F141" s="139" t="s">
        <v>717</v>
      </c>
      <c r="G141" s="38" t="s">
        <v>734</v>
      </c>
      <c r="H141" s="122" t="s">
        <v>355</v>
      </c>
      <c r="I141" s="41">
        <v>1</v>
      </c>
      <c r="J141" s="152" t="s">
        <v>735</v>
      </c>
      <c r="K141" s="38" t="s">
        <v>349</v>
      </c>
      <c r="L141" s="139" t="s">
        <v>717</v>
      </c>
    </row>
    <row r="142" spans="1:12" ht="55.5" customHeight="1">
      <c r="A142" s="38" t="s">
        <v>736</v>
      </c>
      <c r="B142" s="130" t="s">
        <v>720</v>
      </c>
      <c r="C142" s="130" t="s">
        <v>737</v>
      </c>
      <c r="D142" s="38" t="s">
        <v>311</v>
      </c>
      <c r="E142" s="122" t="s">
        <v>618</v>
      </c>
      <c r="F142" s="139" t="s">
        <v>717</v>
      </c>
      <c r="G142" s="38" t="s">
        <v>738</v>
      </c>
      <c r="H142" s="122" t="s">
        <v>355</v>
      </c>
      <c r="I142" s="41">
        <v>1</v>
      </c>
      <c r="J142" s="152" t="s">
        <v>739</v>
      </c>
      <c r="K142" s="38" t="s">
        <v>349</v>
      </c>
      <c r="L142" s="139" t="s">
        <v>717</v>
      </c>
    </row>
    <row r="143" spans="1:12" ht="61.5" customHeight="1">
      <c r="A143" s="38" t="s">
        <v>740</v>
      </c>
      <c r="B143" s="130" t="s">
        <v>720</v>
      </c>
      <c r="C143" s="130" t="s">
        <v>741</v>
      </c>
      <c r="D143" s="38" t="s">
        <v>311</v>
      </c>
      <c r="E143" s="122" t="s">
        <v>618</v>
      </c>
      <c r="F143" s="139" t="s">
        <v>344</v>
      </c>
      <c r="G143" s="38" t="s">
        <v>742</v>
      </c>
      <c r="H143" s="122" t="s">
        <v>355</v>
      </c>
      <c r="I143" s="41">
        <v>1</v>
      </c>
      <c r="J143" s="152" t="s">
        <v>743</v>
      </c>
      <c r="K143" s="38" t="s">
        <v>349</v>
      </c>
      <c r="L143" s="139" t="s">
        <v>344</v>
      </c>
    </row>
    <row r="144" spans="1:12" ht="62.25" customHeight="1">
      <c r="A144" s="38" t="s">
        <v>744</v>
      </c>
      <c r="B144" s="130" t="s">
        <v>720</v>
      </c>
      <c r="C144" s="130" t="s">
        <v>745</v>
      </c>
      <c r="D144" s="38" t="s">
        <v>311</v>
      </c>
      <c r="E144" s="122" t="s">
        <v>618</v>
      </c>
      <c r="F144" s="139" t="s">
        <v>344</v>
      </c>
      <c r="G144" s="38" t="s">
        <v>746</v>
      </c>
      <c r="H144" s="122" t="s">
        <v>355</v>
      </c>
      <c r="I144" s="41">
        <v>1</v>
      </c>
      <c r="J144" s="152" t="s">
        <v>747</v>
      </c>
      <c r="K144" s="38" t="s">
        <v>349</v>
      </c>
      <c r="L144" s="139" t="s">
        <v>344</v>
      </c>
    </row>
    <row r="145" spans="1:12" ht="61.5" customHeight="1">
      <c r="A145" s="38" t="s">
        <v>748</v>
      </c>
      <c r="B145" s="130" t="s">
        <v>720</v>
      </c>
      <c r="C145" s="130" t="s">
        <v>749</v>
      </c>
      <c r="D145" s="38" t="s">
        <v>311</v>
      </c>
      <c r="E145" s="122" t="s">
        <v>618</v>
      </c>
      <c r="F145" s="139" t="s">
        <v>717</v>
      </c>
      <c r="G145" s="38" t="s">
        <v>750</v>
      </c>
      <c r="H145" s="122" t="s">
        <v>355</v>
      </c>
      <c r="I145" s="41">
        <v>1</v>
      </c>
      <c r="J145" s="152" t="s">
        <v>751</v>
      </c>
      <c r="K145" s="38" t="s">
        <v>349</v>
      </c>
      <c r="L145" s="139" t="s">
        <v>717</v>
      </c>
    </row>
    <row r="146" spans="1:12" ht="71.25" customHeight="1">
      <c r="A146" s="38" t="s">
        <v>752</v>
      </c>
      <c r="B146" s="130" t="s">
        <v>753</v>
      </c>
      <c r="C146" s="130" t="s">
        <v>754</v>
      </c>
      <c r="D146" s="38" t="s">
        <v>311</v>
      </c>
      <c r="E146" s="122" t="s">
        <v>618</v>
      </c>
      <c r="F146" s="139" t="s">
        <v>717</v>
      </c>
      <c r="G146" s="38" t="s">
        <v>755</v>
      </c>
      <c r="H146" s="122" t="s">
        <v>355</v>
      </c>
      <c r="I146" s="41">
        <v>1</v>
      </c>
      <c r="J146" s="152" t="s">
        <v>756</v>
      </c>
      <c r="K146" s="38" t="s">
        <v>349</v>
      </c>
      <c r="L146" s="139" t="s">
        <v>717</v>
      </c>
    </row>
    <row r="147" spans="1:12" ht="60" customHeight="1">
      <c r="A147" s="38" t="s">
        <v>757</v>
      </c>
      <c r="B147" s="130" t="s">
        <v>753</v>
      </c>
      <c r="C147" s="130" t="s">
        <v>758</v>
      </c>
      <c r="D147" s="38" t="s">
        <v>311</v>
      </c>
      <c r="E147" s="122" t="s">
        <v>618</v>
      </c>
      <c r="F147" s="139" t="s">
        <v>717</v>
      </c>
      <c r="G147" s="38" t="s">
        <v>198</v>
      </c>
      <c r="H147" s="122" t="s">
        <v>355</v>
      </c>
      <c r="I147" s="41">
        <v>1</v>
      </c>
      <c r="J147" s="152" t="s">
        <v>759</v>
      </c>
      <c r="K147" s="38" t="s">
        <v>349</v>
      </c>
      <c r="L147" s="139" t="s">
        <v>717</v>
      </c>
    </row>
    <row r="148" spans="1:12" ht="54" customHeight="1">
      <c r="A148" s="38" t="s">
        <v>760</v>
      </c>
      <c r="B148" s="130" t="s">
        <v>753</v>
      </c>
      <c r="C148" s="130" t="s">
        <v>761</v>
      </c>
      <c r="D148" s="38" t="s">
        <v>311</v>
      </c>
      <c r="E148" s="122" t="s">
        <v>618</v>
      </c>
      <c r="F148" s="139" t="s">
        <v>717</v>
      </c>
      <c r="G148" s="38" t="s">
        <v>762</v>
      </c>
      <c r="H148" s="122" t="s">
        <v>355</v>
      </c>
      <c r="I148" s="41">
        <v>1</v>
      </c>
      <c r="J148" s="152" t="s">
        <v>763</v>
      </c>
      <c r="K148" s="38" t="s">
        <v>349</v>
      </c>
      <c r="L148" s="139" t="s">
        <v>717</v>
      </c>
    </row>
    <row r="149" spans="1:12" ht="64.5" customHeight="1">
      <c r="A149" s="38" t="s">
        <v>764</v>
      </c>
      <c r="B149" s="130" t="s">
        <v>753</v>
      </c>
      <c r="C149" s="130" t="s">
        <v>765</v>
      </c>
      <c r="D149" s="38" t="s">
        <v>311</v>
      </c>
      <c r="E149" s="122" t="s">
        <v>618</v>
      </c>
      <c r="F149" s="139" t="s">
        <v>313</v>
      </c>
      <c r="G149" s="38" t="s">
        <v>766</v>
      </c>
      <c r="H149" s="122" t="s">
        <v>355</v>
      </c>
      <c r="I149" s="41">
        <v>1</v>
      </c>
      <c r="J149" s="152" t="s">
        <v>767</v>
      </c>
      <c r="K149" s="38" t="s">
        <v>349</v>
      </c>
      <c r="L149" s="139" t="s">
        <v>313</v>
      </c>
    </row>
    <row r="150" spans="1:12" ht="88.5" customHeight="1">
      <c r="A150" s="38" t="s">
        <v>768</v>
      </c>
      <c r="B150" s="130" t="s">
        <v>753</v>
      </c>
      <c r="C150" s="130" t="s">
        <v>769</v>
      </c>
      <c r="D150" s="38" t="s">
        <v>311</v>
      </c>
      <c r="E150" s="122" t="s">
        <v>618</v>
      </c>
      <c r="F150" s="139" t="s">
        <v>717</v>
      </c>
      <c r="G150" s="38" t="s">
        <v>770</v>
      </c>
      <c r="H150" s="122" t="s">
        <v>355</v>
      </c>
      <c r="I150" s="41">
        <v>1</v>
      </c>
      <c r="J150" s="152" t="s">
        <v>771</v>
      </c>
      <c r="K150" s="38" t="s">
        <v>349</v>
      </c>
      <c r="L150" s="139" t="s">
        <v>717</v>
      </c>
    </row>
    <row r="151" spans="1:12" ht="63" customHeight="1">
      <c r="A151" s="38" t="s">
        <v>772</v>
      </c>
      <c r="B151" s="130" t="s">
        <v>773</v>
      </c>
      <c r="C151" s="130" t="s">
        <v>774</v>
      </c>
      <c r="D151" s="38" t="s">
        <v>311</v>
      </c>
      <c r="E151" s="122" t="s">
        <v>618</v>
      </c>
      <c r="F151" s="139" t="s">
        <v>344</v>
      </c>
      <c r="G151" s="38" t="s">
        <v>775</v>
      </c>
      <c r="H151" s="122" t="s">
        <v>355</v>
      </c>
      <c r="I151" s="41">
        <v>1</v>
      </c>
      <c r="J151" s="152" t="s">
        <v>776</v>
      </c>
      <c r="K151" s="38" t="s">
        <v>349</v>
      </c>
      <c r="L151" s="139" t="s">
        <v>344</v>
      </c>
    </row>
    <row r="152" spans="1:12" ht="56.25" customHeight="1">
      <c r="A152" s="38" t="s">
        <v>777</v>
      </c>
      <c r="B152" s="130" t="s">
        <v>778</v>
      </c>
      <c r="C152" s="130" t="s">
        <v>779</v>
      </c>
      <c r="D152" s="38" t="s">
        <v>311</v>
      </c>
      <c r="E152" s="122" t="s">
        <v>618</v>
      </c>
      <c r="F152" s="139" t="s">
        <v>717</v>
      </c>
      <c r="G152" s="38" t="s">
        <v>780</v>
      </c>
      <c r="H152" s="122" t="s">
        <v>355</v>
      </c>
      <c r="I152" s="41">
        <v>1</v>
      </c>
      <c r="J152" s="152" t="s">
        <v>781</v>
      </c>
      <c r="K152" s="38" t="s">
        <v>349</v>
      </c>
      <c r="L152" s="139" t="s">
        <v>717</v>
      </c>
    </row>
    <row r="153" spans="1:12" ht="61.5" customHeight="1">
      <c r="A153" s="38" t="s">
        <v>782</v>
      </c>
      <c r="B153" s="130" t="s">
        <v>778</v>
      </c>
      <c r="C153" s="130" t="s">
        <v>783</v>
      </c>
      <c r="D153" s="38" t="s">
        <v>311</v>
      </c>
      <c r="E153" s="122" t="s">
        <v>618</v>
      </c>
      <c r="F153" s="139" t="s">
        <v>717</v>
      </c>
      <c r="G153" s="38" t="s">
        <v>784</v>
      </c>
      <c r="H153" s="122" t="s">
        <v>355</v>
      </c>
      <c r="I153" s="41">
        <v>1</v>
      </c>
      <c r="J153" s="152" t="s">
        <v>785</v>
      </c>
      <c r="K153" s="38" t="s">
        <v>349</v>
      </c>
      <c r="L153" s="139" t="s">
        <v>717</v>
      </c>
    </row>
    <row r="154" spans="1:12" ht="58.5" customHeight="1">
      <c r="A154" s="38" t="s">
        <v>786</v>
      </c>
      <c r="B154" s="130" t="s">
        <v>778</v>
      </c>
      <c r="C154" s="130" t="s">
        <v>787</v>
      </c>
      <c r="D154" s="38" t="s">
        <v>311</v>
      </c>
      <c r="E154" s="122" t="s">
        <v>618</v>
      </c>
      <c r="F154" s="139" t="s">
        <v>344</v>
      </c>
      <c r="G154" s="38" t="s">
        <v>788</v>
      </c>
      <c r="H154" s="122" t="s">
        <v>355</v>
      </c>
      <c r="I154" s="41">
        <v>1</v>
      </c>
      <c r="J154" s="152" t="s">
        <v>789</v>
      </c>
      <c r="K154" s="38" t="s">
        <v>349</v>
      </c>
      <c r="L154" s="139" t="s">
        <v>344</v>
      </c>
    </row>
    <row r="155" spans="1:12" ht="67.5" customHeight="1">
      <c r="A155" s="38" t="s">
        <v>790</v>
      </c>
      <c r="B155" s="130" t="s">
        <v>778</v>
      </c>
      <c r="C155" s="130" t="s">
        <v>791</v>
      </c>
      <c r="D155" s="38" t="s">
        <v>311</v>
      </c>
      <c r="E155" s="122" t="s">
        <v>618</v>
      </c>
      <c r="F155" s="139" t="s">
        <v>344</v>
      </c>
      <c r="G155" s="38">
        <v>146</v>
      </c>
      <c r="H155" s="122" t="s">
        <v>355</v>
      </c>
      <c r="I155" s="41">
        <v>1</v>
      </c>
      <c r="J155" s="152" t="s">
        <v>792</v>
      </c>
      <c r="K155" s="38" t="s">
        <v>349</v>
      </c>
      <c r="L155" s="139" t="s">
        <v>344</v>
      </c>
    </row>
    <row r="156" spans="1:12" ht="63.75" customHeight="1">
      <c r="A156" s="195" t="s">
        <v>793</v>
      </c>
      <c r="B156" s="130" t="s">
        <v>794</v>
      </c>
      <c r="C156" s="127" t="s">
        <v>795</v>
      </c>
      <c r="D156" s="38" t="s">
        <v>311</v>
      </c>
      <c r="E156" s="122" t="s">
        <v>618</v>
      </c>
      <c r="F156" s="139" t="s">
        <v>344</v>
      </c>
      <c r="G156" s="38"/>
      <c r="H156" s="122" t="s">
        <v>355</v>
      </c>
      <c r="I156" s="41">
        <v>1</v>
      </c>
      <c r="J156" s="127" t="s">
        <v>796</v>
      </c>
      <c r="K156" s="38" t="s">
        <v>349</v>
      </c>
      <c r="L156" s="139" t="s">
        <v>344</v>
      </c>
    </row>
    <row r="157" spans="1:12" ht="69.75" customHeight="1">
      <c r="A157" s="195" t="s">
        <v>797</v>
      </c>
      <c r="B157" s="130" t="s">
        <v>794</v>
      </c>
      <c r="C157" s="127" t="s">
        <v>798</v>
      </c>
      <c r="D157" s="38" t="s">
        <v>311</v>
      </c>
      <c r="E157" s="122" t="s">
        <v>618</v>
      </c>
      <c r="F157" s="139" t="s">
        <v>344</v>
      </c>
      <c r="G157" s="38" t="s">
        <v>793</v>
      </c>
      <c r="H157" s="122" t="s">
        <v>355</v>
      </c>
      <c r="I157" s="41">
        <v>1</v>
      </c>
      <c r="J157" s="127" t="s">
        <v>799</v>
      </c>
      <c r="K157" s="38" t="s">
        <v>349</v>
      </c>
      <c r="L157" s="139" t="s">
        <v>344</v>
      </c>
    </row>
    <row r="158" spans="1:12" ht="71.25" customHeight="1">
      <c r="A158" s="195" t="s">
        <v>800</v>
      </c>
      <c r="B158" s="130" t="s">
        <v>794</v>
      </c>
      <c r="C158" s="127" t="s">
        <v>801</v>
      </c>
      <c r="D158" s="38" t="s">
        <v>311</v>
      </c>
      <c r="E158" s="122" t="s">
        <v>618</v>
      </c>
      <c r="F158" s="139" t="s">
        <v>344</v>
      </c>
      <c r="G158" s="38" t="s">
        <v>797</v>
      </c>
      <c r="H158" s="122" t="s">
        <v>355</v>
      </c>
      <c r="I158" s="41">
        <v>1</v>
      </c>
      <c r="J158" s="127" t="s">
        <v>802</v>
      </c>
      <c r="K158" s="38" t="s">
        <v>349</v>
      </c>
      <c r="L158" s="139" t="s">
        <v>344</v>
      </c>
    </row>
    <row r="159" spans="1:12" ht="61.5" customHeight="1">
      <c r="A159" s="195" t="s">
        <v>803</v>
      </c>
      <c r="B159" s="130" t="s">
        <v>794</v>
      </c>
      <c r="C159" s="127" t="s">
        <v>804</v>
      </c>
      <c r="D159" s="38" t="s">
        <v>311</v>
      </c>
      <c r="E159" s="122" t="s">
        <v>618</v>
      </c>
      <c r="F159" s="139" t="s">
        <v>344</v>
      </c>
      <c r="G159" s="38" t="s">
        <v>800</v>
      </c>
      <c r="H159" s="122" t="s">
        <v>355</v>
      </c>
      <c r="I159" s="41">
        <v>1</v>
      </c>
      <c r="J159" s="127" t="s">
        <v>805</v>
      </c>
      <c r="K159" s="38" t="s">
        <v>349</v>
      </c>
      <c r="L159" s="139" t="s">
        <v>344</v>
      </c>
    </row>
    <row r="160" spans="1:12" ht="75.75" customHeight="1">
      <c r="A160" s="195" t="s">
        <v>806</v>
      </c>
      <c r="B160" s="130" t="s">
        <v>794</v>
      </c>
      <c r="C160" s="127" t="s">
        <v>807</v>
      </c>
      <c r="D160" s="38" t="s">
        <v>311</v>
      </c>
      <c r="E160" s="122" t="s">
        <v>618</v>
      </c>
      <c r="F160" s="139" t="s">
        <v>344</v>
      </c>
      <c r="G160" s="38" t="s">
        <v>803</v>
      </c>
      <c r="H160" s="122" t="s">
        <v>355</v>
      </c>
      <c r="I160" s="41">
        <v>1</v>
      </c>
      <c r="J160" s="127" t="s">
        <v>808</v>
      </c>
      <c r="K160" s="38" t="s">
        <v>349</v>
      </c>
      <c r="L160" s="139" t="s">
        <v>344</v>
      </c>
    </row>
    <row r="161" spans="1:12" ht="58.5" customHeight="1">
      <c r="A161" s="195" t="s">
        <v>809</v>
      </c>
      <c r="B161" s="130" t="s">
        <v>794</v>
      </c>
      <c r="C161" s="127" t="s">
        <v>810</v>
      </c>
      <c r="D161" s="38" t="s">
        <v>311</v>
      </c>
      <c r="E161" s="122" t="s">
        <v>618</v>
      </c>
      <c r="F161" s="139" t="s">
        <v>344</v>
      </c>
      <c r="G161" s="38" t="s">
        <v>806</v>
      </c>
      <c r="H161" s="122" t="s">
        <v>355</v>
      </c>
      <c r="I161" s="41">
        <v>1</v>
      </c>
      <c r="J161" s="127" t="s">
        <v>811</v>
      </c>
      <c r="K161" s="38" t="s">
        <v>349</v>
      </c>
      <c r="L161" s="139" t="s">
        <v>344</v>
      </c>
    </row>
    <row r="162" spans="1:12" ht="62.25" customHeight="1">
      <c r="A162" s="195" t="s">
        <v>812</v>
      </c>
      <c r="B162" s="130" t="s">
        <v>794</v>
      </c>
      <c r="C162" s="127" t="s">
        <v>813</v>
      </c>
      <c r="D162" s="38" t="s">
        <v>311</v>
      </c>
      <c r="E162" s="122" t="s">
        <v>618</v>
      </c>
      <c r="F162" s="139" t="s">
        <v>344</v>
      </c>
      <c r="G162" s="38" t="s">
        <v>809</v>
      </c>
      <c r="H162" s="122" t="s">
        <v>355</v>
      </c>
      <c r="I162" s="41">
        <v>1</v>
      </c>
      <c r="J162" s="127" t="s">
        <v>814</v>
      </c>
      <c r="K162" s="38" t="s">
        <v>349</v>
      </c>
      <c r="L162" s="139" t="s">
        <v>344</v>
      </c>
    </row>
    <row r="163" spans="1:12" ht="57" customHeight="1">
      <c r="A163" s="195" t="s">
        <v>815</v>
      </c>
      <c r="B163" s="193" t="s">
        <v>816</v>
      </c>
      <c r="C163" s="127" t="s">
        <v>817</v>
      </c>
      <c r="D163" s="38" t="s">
        <v>311</v>
      </c>
      <c r="E163" s="122" t="s">
        <v>618</v>
      </c>
      <c r="F163" s="139" t="s">
        <v>344</v>
      </c>
      <c r="G163" s="142" t="s">
        <v>793</v>
      </c>
      <c r="H163" s="122" t="s">
        <v>355</v>
      </c>
      <c r="I163" s="41">
        <v>1</v>
      </c>
      <c r="J163" s="127" t="s">
        <v>818</v>
      </c>
      <c r="K163" s="38" t="s">
        <v>349</v>
      </c>
      <c r="L163" s="139" t="s">
        <v>344</v>
      </c>
    </row>
    <row r="164" spans="1:12" ht="60" customHeight="1">
      <c r="A164" s="195" t="s">
        <v>819</v>
      </c>
      <c r="B164" s="193" t="s">
        <v>816</v>
      </c>
      <c r="C164" s="127" t="s">
        <v>820</v>
      </c>
      <c r="D164" s="38" t="s">
        <v>311</v>
      </c>
      <c r="E164" s="122" t="s">
        <v>618</v>
      </c>
      <c r="F164" s="139" t="s">
        <v>619</v>
      </c>
      <c r="G164" s="142" t="s">
        <v>793</v>
      </c>
      <c r="H164" s="122" t="s">
        <v>355</v>
      </c>
      <c r="I164" s="41">
        <v>1</v>
      </c>
      <c r="J164" s="127" t="s">
        <v>821</v>
      </c>
      <c r="K164" s="38" t="s">
        <v>349</v>
      </c>
      <c r="L164" s="139" t="s">
        <v>619</v>
      </c>
    </row>
    <row r="165" spans="1:12" ht="56.25" customHeight="1">
      <c r="A165" s="195" t="s">
        <v>822</v>
      </c>
      <c r="B165" s="193" t="s">
        <v>816</v>
      </c>
      <c r="C165" s="127" t="s">
        <v>823</v>
      </c>
      <c r="D165" s="38" t="s">
        <v>311</v>
      </c>
      <c r="E165" s="122" t="s">
        <v>618</v>
      </c>
      <c r="F165" s="139" t="s">
        <v>619</v>
      </c>
      <c r="G165" s="38" t="s">
        <v>815</v>
      </c>
      <c r="H165" s="122" t="s">
        <v>355</v>
      </c>
      <c r="I165" s="41">
        <v>1</v>
      </c>
      <c r="J165" s="127" t="s">
        <v>824</v>
      </c>
      <c r="K165" s="38" t="s">
        <v>349</v>
      </c>
      <c r="L165" s="139" t="s">
        <v>619</v>
      </c>
    </row>
    <row r="166" spans="1:12" ht="60.75" customHeight="1">
      <c r="A166" s="195" t="s">
        <v>825</v>
      </c>
      <c r="B166" s="193" t="s">
        <v>816</v>
      </c>
      <c r="C166" s="127" t="s">
        <v>826</v>
      </c>
      <c r="D166" s="38" t="s">
        <v>311</v>
      </c>
      <c r="E166" s="122" t="s">
        <v>618</v>
      </c>
      <c r="F166" s="139" t="s">
        <v>619</v>
      </c>
      <c r="G166" s="38" t="s">
        <v>815</v>
      </c>
      <c r="H166" s="122" t="s">
        <v>355</v>
      </c>
      <c r="I166" s="41">
        <v>1</v>
      </c>
      <c r="J166" s="127" t="s">
        <v>827</v>
      </c>
      <c r="K166" s="38" t="s">
        <v>349</v>
      </c>
      <c r="L166" s="139" t="s">
        <v>619</v>
      </c>
    </row>
    <row r="167" spans="1:12" ht="54.75" customHeight="1">
      <c r="A167" s="195" t="s">
        <v>828</v>
      </c>
      <c r="B167" s="193" t="s">
        <v>816</v>
      </c>
      <c r="C167" s="127" t="s">
        <v>829</v>
      </c>
      <c r="D167" s="38" t="s">
        <v>311</v>
      </c>
      <c r="E167" s="122" t="s">
        <v>618</v>
      </c>
      <c r="F167" s="139" t="s">
        <v>619</v>
      </c>
      <c r="G167" s="38" t="s">
        <v>815</v>
      </c>
      <c r="H167" s="122" t="s">
        <v>355</v>
      </c>
      <c r="I167" s="41">
        <v>1</v>
      </c>
      <c r="J167" s="127" t="s">
        <v>830</v>
      </c>
      <c r="K167" s="38" t="s">
        <v>349</v>
      </c>
      <c r="L167" s="139" t="s">
        <v>619</v>
      </c>
    </row>
    <row r="168" spans="1:12" ht="57.75" customHeight="1">
      <c r="A168" s="195" t="s">
        <v>831</v>
      </c>
      <c r="B168" s="193" t="s">
        <v>816</v>
      </c>
      <c r="C168" s="127" t="s">
        <v>832</v>
      </c>
      <c r="D168" s="38" t="s">
        <v>311</v>
      </c>
      <c r="E168" s="122" t="s">
        <v>618</v>
      </c>
      <c r="F168" s="139" t="s">
        <v>833</v>
      </c>
      <c r="G168" s="38" t="s">
        <v>815</v>
      </c>
      <c r="H168" s="122" t="s">
        <v>355</v>
      </c>
      <c r="I168" s="41">
        <v>1</v>
      </c>
      <c r="J168" s="127" t="s">
        <v>834</v>
      </c>
      <c r="K168" s="38" t="s">
        <v>349</v>
      </c>
      <c r="L168" s="139" t="s">
        <v>833</v>
      </c>
    </row>
    <row r="169" spans="1:12" ht="63.75" customHeight="1">
      <c r="A169" s="195" t="s">
        <v>835</v>
      </c>
      <c r="B169" s="130" t="s">
        <v>836</v>
      </c>
      <c r="C169" s="127" t="s">
        <v>837</v>
      </c>
      <c r="D169" s="38" t="s">
        <v>311</v>
      </c>
      <c r="E169" s="122" t="s">
        <v>618</v>
      </c>
      <c r="F169" s="139" t="s">
        <v>619</v>
      </c>
      <c r="G169" s="128" t="s">
        <v>793</v>
      </c>
      <c r="H169" s="122" t="s">
        <v>355</v>
      </c>
      <c r="I169" s="41">
        <v>1</v>
      </c>
      <c r="J169" s="127" t="s">
        <v>838</v>
      </c>
      <c r="K169" s="38" t="s">
        <v>349</v>
      </c>
      <c r="L169" s="139" t="s">
        <v>619</v>
      </c>
    </row>
    <row r="170" spans="1:12" ht="43.5" customHeight="1">
      <c r="A170" s="195" t="s">
        <v>839</v>
      </c>
      <c r="B170" s="130" t="s">
        <v>836</v>
      </c>
      <c r="C170" s="127" t="s">
        <v>840</v>
      </c>
      <c r="D170" s="38" t="s">
        <v>311</v>
      </c>
      <c r="E170" s="122" t="s">
        <v>618</v>
      </c>
      <c r="F170" s="139" t="s">
        <v>619</v>
      </c>
      <c r="G170" s="128" t="s">
        <v>793</v>
      </c>
      <c r="H170" s="122" t="s">
        <v>355</v>
      </c>
      <c r="I170" s="41">
        <v>1</v>
      </c>
      <c r="J170" s="127" t="s">
        <v>841</v>
      </c>
      <c r="K170" s="38" t="s">
        <v>349</v>
      </c>
      <c r="L170" s="139" t="s">
        <v>619</v>
      </c>
    </row>
    <row r="171" spans="1:12" ht="56.25" customHeight="1">
      <c r="A171" s="195" t="s">
        <v>842</v>
      </c>
      <c r="B171" s="130" t="s">
        <v>836</v>
      </c>
      <c r="C171" s="127" t="s">
        <v>843</v>
      </c>
      <c r="D171" s="38" t="s">
        <v>311</v>
      </c>
      <c r="E171" s="122" t="s">
        <v>618</v>
      </c>
      <c r="F171" s="139" t="s">
        <v>619</v>
      </c>
      <c r="G171" s="128" t="s">
        <v>793</v>
      </c>
      <c r="H171" s="122" t="s">
        <v>355</v>
      </c>
      <c r="I171" s="41">
        <v>1</v>
      </c>
      <c r="J171" s="148" t="s">
        <v>844</v>
      </c>
      <c r="K171" s="38" t="s">
        <v>349</v>
      </c>
      <c r="L171" s="139" t="s">
        <v>619</v>
      </c>
    </row>
    <row r="172" spans="1:12" ht="40.5" customHeight="1">
      <c r="A172" s="195" t="s">
        <v>845</v>
      </c>
      <c r="B172" s="130" t="s">
        <v>836</v>
      </c>
      <c r="C172" s="127" t="s">
        <v>846</v>
      </c>
      <c r="D172" s="38" t="s">
        <v>311</v>
      </c>
      <c r="E172" s="122" t="s">
        <v>618</v>
      </c>
      <c r="F172" s="139" t="s">
        <v>619</v>
      </c>
      <c r="G172" s="128" t="s">
        <v>793</v>
      </c>
      <c r="H172" s="122" t="s">
        <v>355</v>
      </c>
      <c r="I172" s="41">
        <v>1</v>
      </c>
      <c r="J172" s="127" t="s">
        <v>847</v>
      </c>
      <c r="K172" s="38" t="s">
        <v>349</v>
      </c>
      <c r="L172" s="139" t="s">
        <v>619</v>
      </c>
    </row>
    <row r="173" spans="1:12" ht="59.25" customHeight="1">
      <c r="A173" s="195" t="s">
        <v>848</v>
      </c>
      <c r="B173" s="130" t="s">
        <v>836</v>
      </c>
      <c r="C173" s="127" t="s">
        <v>849</v>
      </c>
      <c r="D173" s="38" t="s">
        <v>311</v>
      </c>
      <c r="E173" s="122" t="s">
        <v>618</v>
      </c>
      <c r="F173" s="139" t="s">
        <v>619</v>
      </c>
      <c r="G173" s="128" t="s">
        <v>793</v>
      </c>
      <c r="H173" s="122" t="s">
        <v>355</v>
      </c>
      <c r="I173" s="41">
        <v>1</v>
      </c>
      <c r="J173" s="127" t="s">
        <v>850</v>
      </c>
      <c r="K173" s="38" t="s">
        <v>349</v>
      </c>
      <c r="L173" s="139" t="s">
        <v>619</v>
      </c>
    </row>
    <row r="174" spans="1:12" ht="55.5" customHeight="1">
      <c r="A174" s="195" t="s">
        <v>851</v>
      </c>
      <c r="B174" s="130" t="s">
        <v>852</v>
      </c>
      <c r="C174" s="127" t="s">
        <v>853</v>
      </c>
      <c r="D174" s="38" t="s">
        <v>311</v>
      </c>
      <c r="E174" s="122" t="s">
        <v>618</v>
      </c>
      <c r="F174" s="139" t="s">
        <v>619</v>
      </c>
      <c r="G174" s="128" t="s">
        <v>793</v>
      </c>
      <c r="H174" s="122" t="s">
        <v>355</v>
      </c>
      <c r="I174" s="41">
        <v>1</v>
      </c>
      <c r="J174" s="127" t="s">
        <v>854</v>
      </c>
      <c r="K174" s="38" t="s">
        <v>349</v>
      </c>
      <c r="L174" s="139" t="s">
        <v>619</v>
      </c>
    </row>
    <row r="175" spans="1:12" ht="39.75" customHeight="1">
      <c r="A175" s="195" t="s">
        <v>855</v>
      </c>
      <c r="B175" s="130" t="s">
        <v>852</v>
      </c>
      <c r="C175" s="127" t="s">
        <v>856</v>
      </c>
      <c r="D175" s="38" t="s">
        <v>311</v>
      </c>
      <c r="E175" s="122" t="s">
        <v>618</v>
      </c>
      <c r="F175" s="139" t="s">
        <v>717</v>
      </c>
      <c r="G175" s="128" t="s">
        <v>793</v>
      </c>
      <c r="H175" s="122" t="s">
        <v>355</v>
      </c>
      <c r="I175" s="41">
        <v>1</v>
      </c>
      <c r="J175" s="127" t="s">
        <v>857</v>
      </c>
      <c r="K175" s="38" t="s">
        <v>349</v>
      </c>
      <c r="L175" s="139" t="s">
        <v>717</v>
      </c>
    </row>
    <row r="176" spans="1:12" ht="55.5" customHeight="1">
      <c r="A176" s="195" t="s">
        <v>858</v>
      </c>
      <c r="B176" s="130" t="s">
        <v>852</v>
      </c>
      <c r="C176" s="127" t="s">
        <v>859</v>
      </c>
      <c r="D176" s="38" t="s">
        <v>311</v>
      </c>
      <c r="E176" s="122" t="s">
        <v>618</v>
      </c>
      <c r="F176" s="139" t="s">
        <v>619</v>
      </c>
      <c r="G176" s="128" t="s">
        <v>793</v>
      </c>
      <c r="H176" s="122" t="s">
        <v>355</v>
      </c>
      <c r="I176" s="41">
        <v>1</v>
      </c>
      <c r="J176" s="127" t="s">
        <v>860</v>
      </c>
      <c r="K176" s="38" t="s">
        <v>349</v>
      </c>
      <c r="L176" s="139" t="s">
        <v>619</v>
      </c>
    </row>
    <row r="177" spans="1:12" ht="46.5" customHeight="1">
      <c r="A177" s="195" t="s">
        <v>861</v>
      </c>
      <c r="B177" s="130" t="s">
        <v>852</v>
      </c>
      <c r="C177" s="127" t="s">
        <v>862</v>
      </c>
      <c r="D177" s="38" t="s">
        <v>311</v>
      </c>
      <c r="E177" s="122" t="s">
        <v>618</v>
      </c>
      <c r="F177" s="139" t="s">
        <v>344</v>
      </c>
      <c r="G177" s="128" t="s">
        <v>793</v>
      </c>
      <c r="H177" s="122" t="s">
        <v>355</v>
      </c>
      <c r="I177" s="41">
        <v>1</v>
      </c>
      <c r="J177" s="127" t="s">
        <v>863</v>
      </c>
      <c r="K177" s="38" t="s">
        <v>349</v>
      </c>
      <c r="L177" s="139" t="s">
        <v>344</v>
      </c>
    </row>
    <row r="178" spans="1:12" ht="43.5" customHeight="1">
      <c r="A178" s="195" t="s">
        <v>864</v>
      </c>
      <c r="B178" s="130" t="s">
        <v>852</v>
      </c>
      <c r="C178" s="127" t="s">
        <v>865</v>
      </c>
      <c r="D178" s="38" t="s">
        <v>311</v>
      </c>
      <c r="E178" s="122" t="s">
        <v>618</v>
      </c>
      <c r="F178" s="139" t="s">
        <v>717</v>
      </c>
      <c r="G178" s="128" t="s">
        <v>793</v>
      </c>
      <c r="H178" s="122" t="s">
        <v>355</v>
      </c>
      <c r="I178" s="41">
        <v>1</v>
      </c>
      <c r="J178" s="127" t="s">
        <v>866</v>
      </c>
      <c r="K178" s="38" t="s">
        <v>349</v>
      </c>
      <c r="L178" s="139" t="s">
        <v>717</v>
      </c>
    </row>
    <row r="179" spans="1:12" ht="62.25" customHeight="1">
      <c r="A179" s="195" t="s">
        <v>867</v>
      </c>
      <c r="B179" s="130" t="s">
        <v>852</v>
      </c>
      <c r="C179" s="127" t="s">
        <v>868</v>
      </c>
      <c r="D179" s="38" t="s">
        <v>311</v>
      </c>
      <c r="E179" s="122" t="s">
        <v>618</v>
      </c>
      <c r="F179" s="139" t="s">
        <v>344</v>
      </c>
      <c r="G179" s="128" t="s">
        <v>793</v>
      </c>
      <c r="H179" s="122" t="s">
        <v>355</v>
      </c>
      <c r="I179" s="41">
        <v>1</v>
      </c>
      <c r="J179" s="127" t="s">
        <v>869</v>
      </c>
      <c r="K179" s="38" t="s">
        <v>349</v>
      </c>
      <c r="L179" s="139" t="s">
        <v>344</v>
      </c>
    </row>
    <row r="180" spans="1:12" ht="51.75" customHeight="1">
      <c r="A180" s="38" t="s">
        <v>870</v>
      </c>
      <c r="B180" s="130" t="s">
        <v>871</v>
      </c>
      <c r="C180" s="127" t="s">
        <v>872</v>
      </c>
      <c r="D180" s="122" t="s">
        <v>311</v>
      </c>
      <c r="E180" s="122" t="s">
        <v>618</v>
      </c>
      <c r="F180" s="139" t="s">
        <v>717</v>
      </c>
      <c r="G180" s="38" t="s">
        <v>870</v>
      </c>
      <c r="H180" s="122" t="s">
        <v>355</v>
      </c>
      <c r="I180" s="180">
        <v>1</v>
      </c>
      <c r="J180" s="127" t="s">
        <v>873</v>
      </c>
      <c r="K180" s="38" t="s">
        <v>349</v>
      </c>
      <c r="L180" s="139" t="s">
        <v>717</v>
      </c>
    </row>
    <row r="181" spans="1:12" ht="51.75" customHeight="1">
      <c r="A181" s="38" t="s">
        <v>874</v>
      </c>
      <c r="B181" s="130" t="s">
        <v>225</v>
      </c>
      <c r="C181" s="127" t="s">
        <v>875</v>
      </c>
      <c r="D181" s="122" t="s">
        <v>311</v>
      </c>
      <c r="E181" s="122" t="s">
        <v>618</v>
      </c>
      <c r="F181" s="139" t="s">
        <v>344</v>
      </c>
      <c r="G181" s="38" t="s">
        <v>870</v>
      </c>
      <c r="H181" s="122" t="s">
        <v>355</v>
      </c>
      <c r="I181" s="180">
        <v>1</v>
      </c>
      <c r="J181" s="127" t="s">
        <v>876</v>
      </c>
      <c r="K181" s="122" t="s">
        <v>349</v>
      </c>
      <c r="L181" s="139" t="s">
        <v>344</v>
      </c>
    </row>
    <row r="182" spans="1:12" ht="63" customHeight="1">
      <c r="A182" s="38" t="s">
        <v>877</v>
      </c>
      <c r="B182" s="130" t="s">
        <v>225</v>
      </c>
      <c r="C182" s="127" t="s">
        <v>878</v>
      </c>
      <c r="D182" s="122" t="s">
        <v>311</v>
      </c>
      <c r="E182" s="122" t="s">
        <v>618</v>
      </c>
      <c r="F182" s="139" t="s">
        <v>717</v>
      </c>
      <c r="G182" s="38" t="s">
        <v>870</v>
      </c>
      <c r="H182" s="122" t="s">
        <v>355</v>
      </c>
      <c r="I182" s="180">
        <v>1</v>
      </c>
      <c r="J182" s="127" t="s">
        <v>879</v>
      </c>
      <c r="K182" s="122" t="s">
        <v>349</v>
      </c>
      <c r="L182" s="139" t="s">
        <v>717</v>
      </c>
    </row>
    <row r="183" spans="1:12" ht="65.25" customHeight="1">
      <c r="A183" s="38" t="s">
        <v>880</v>
      </c>
      <c r="B183" s="130" t="s">
        <v>225</v>
      </c>
      <c r="C183" s="127" t="s">
        <v>881</v>
      </c>
      <c r="D183" s="38" t="s">
        <v>311</v>
      </c>
      <c r="E183" s="122" t="s">
        <v>618</v>
      </c>
      <c r="F183" s="139" t="s">
        <v>717</v>
      </c>
      <c r="G183" s="38" t="s">
        <v>877</v>
      </c>
      <c r="H183" s="122" t="s">
        <v>355</v>
      </c>
      <c r="I183" s="41">
        <v>1</v>
      </c>
      <c r="J183" s="127" t="s">
        <v>882</v>
      </c>
      <c r="K183" s="122" t="s">
        <v>349</v>
      </c>
      <c r="L183" s="139" t="s">
        <v>717</v>
      </c>
    </row>
    <row r="184" spans="1:12" ht="50.25" customHeight="1">
      <c r="A184" s="38" t="s">
        <v>883</v>
      </c>
      <c r="B184" s="130" t="s">
        <v>884</v>
      </c>
      <c r="C184" s="127" t="s">
        <v>885</v>
      </c>
      <c r="D184" s="38" t="s">
        <v>311</v>
      </c>
      <c r="E184" s="122" t="s">
        <v>618</v>
      </c>
      <c r="F184" s="139" t="s">
        <v>344</v>
      </c>
      <c r="G184" s="38" t="s">
        <v>880</v>
      </c>
      <c r="H184" s="122" t="s">
        <v>355</v>
      </c>
      <c r="I184" s="180">
        <v>1</v>
      </c>
      <c r="J184" s="127" t="s">
        <v>886</v>
      </c>
      <c r="K184" s="38" t="s">
        <v>349</v>
      </c>
      <c r="L184" s="139" t="s">
        <v>344</v>
      </c>
    </row>
    <row r="185" spans="1:12" ht="55.5" customHeight="1">
      <c r="A185" s="38" t="s">
        <v>887</v>
      </c>
      <c r="B185" s="130" t="s">
        <v>229</v>
      </c>
      <c r="C185" s="127" t="s">
        <v>888</v>
      </c>
      <c r="D185" s="38" t="s">
        <v>311</v>
      </c>
      <c r="E185" s="122" t="s">
        <v>618</v>
      </c>
      <c r="F185" s="139" t="s">
        <v>344</v>
      </c>
      <c r="G185" s="38" t="s">
        <v>889</v>
      </c>
      <c r="H185" s="122" t="s">
        <v>355</v>
      </c>
      <c r="I185" s="180">
        <v>1</v>
      </c>
      <c r="J185" s="127" t="s">
        <v>890</v>
      </c>
      <c r="K185" s="38" t="s">
        <v>349</v>
      </c>
      <c r="L185" s="139" t="s">
        <v>344</v>
      </c>
    </row>
    <row r="186" spans="1:12" ht="49.5" customHeight="1">
      <c r="A186" s="38" t="s">
        <v>891</v>
      </c>
      <c r="B186" s="130" t="s">
        <v>229</v>
      </c>
      <c r="C186" s="127" t="s">
        <v>892</v>
      </c>
      <c r="D186" s="122" t="s">
        <v>311</v>
      </c>
      <c r="E186" s="122" t="s">
        <v>618</v>
      </c>
      <c r="F186" s="139" t="s">
        <v>717</v>
      </c>
      <c r="G186" s="38" t="s">
        <v>893</v>
      </c>
      <c r="H186" s="122" t="s">
        <v>355</v>
      </c>
      <c r="I186" s="180">
        <v>1</v>
      </c>
      <c r="J186" s="127" t="s">
        <v>894</v>
      </c>
      <c r="K186" s="38" t="s">
        <v>349</v>
      </c>
      <c r="L186" s="139" t="s">
        <v>717</v>
      </c>
    </row>
    <row r="187" spans="1:12" ht="54.75" customHeight="1">
      <c r="A187" s="38" t="s">
        <v>895</v>
      </c>
      <c r="B187" s="130" t="s">
        <v>229</v>
      </c>
      <c r="C187" s="127" t="s">
        <v>896</v>
      </c>
      <c r="D187" s="38" t="s">
        <v>311</v>
      </c>
      <c r="E187" s="122" t="s">
        <v>618</v>
      </c>
      <c r="F187" s="139" t="s">
        <v>344</v>
      </c>
      <c r="G187" s="38" t="s">
        <v>891</v>
      </c>
      <c r="H187" s="122" t="s">
        <v>355</v>
      </c>
      <c r="I187" s="180">
        <v>1</v>
      </c>
      <c r="J187" s="127" t="s">
        <v>897</v>
      </c>
      <c r="K187" s="38" t="s">
        <v>349</v>
      </c>
      <c r="L187" s="139" t="s">
        <v>344</v>
      </c>
    </row>
    <row r="188" spans="1:12" ht="67.5" customHeight="1">
      <c r="A188" s="38" t="s">
        <v>898</v>
      </c>
      <c r="B188" s="130" t="s">
        <v>899</v>
      </c>
      <c r="C188" s="127" t="s">
        <v>900</v>
      </c>
      <c r="D188" s="38" t="s">
        <v>311</v>
      </c>
      <c r="E188" s="122" t="s">
        <v>618</v>
      </c>
      <c r="F188" s="139" t="s">
        <v>717</v>
      </c>
      <c r="G188" s="38" t="s">
        <v>901</v>
      </c>
      <c r="H188" s="122" t="s">
        <v>355</v>
      </c>
      <c r="I188" s="180">
        <v>1</v>
      </c>
      <c r="J188" s="127" t="s">
        <v>902</v>
      </c>
      <c r="K188" s="38" t="s">
        <v>349</v>
      </c>
      <c r="L188" s="139" t="s">
        <v>717</v>
      </c>
    </row>
    <row r="189" spans="1:12" ht="59.25" customHeight="1">
      <c r="A189" s="38" t="s">
        <v>903</v>
      </c>
      <c r="B189" s="130" t="s">
        <v>234</v>
      </c>
      <c r="C189" s="127" t="s">
        <v>904</v>
      </c>
      <c r="D189" s="38" t="s">
        <v>311</v>
      </c>
      <c r="E189" s="122" t="s">
        <v>618</v>
      </c>
      <c r="F189" s="139" t="s">
        <v>344</v>
      </c>
      <c r="G189" s="38" t="s">
        <v>898</v>
      </c>
      <c r="H189" s="122" t="s">
        <v>355</v>
      </c>
      <c r="I189" s="180">
        <v>1</v>
      </c>
      <c r="J189" s="127" t="s">
        <v>905</v>
      </c>
      <c r="K189" s="38" t="s">
        <v>349</v>
      </c>
      <c r="L189" s="139" t="s">
        <v>344</v>
      </c>
    </row>
    <row r="190" spans="1:12" ht="62.25" customHeight="1">
      <c r="A190" s="38" t="s">
        <v>906</v>
      </c>
      <c r="B190" s="130" t="s">
        <v>234</v>
      </c>
      <c r="C190" s="127" t="s">
        <v>907</v>
      </c>
      <c r="D190" s="122" t="s">
        <v>311</v>
      </c>
      <c r="E190" s="122" t="s">
        <v>618</v>
      </c>
      <c r="F190" s="139" t="s">
        <v>717</v>
      </c>
      <c r="G190" s="38" t="s">
        <v>908</v>
      </c>
      <c r="H190" s="122" t="s">
        <v>355</v>
      </c>
      <c r="I190" s="180">
        <v>1</v>
      </c>
      <c r="J190" s="127" t="s">
        <v>909</v>
      </c>
      <c r="K190" s="38" t="s">
        <v>349</v>
      </c>
      <c r="L190" s="139" t="s">
        <v>717</v>
      </c>
    </row>
    <row r="191" spans="1:12" ht="70.5" customHeight="1">
      <c r="A191" s="38" t="s">
        <v>910</v>
      </c>
      <c r="B191" s="130" t="s">
        <v>234</v>
      </c>
      <c r="C191" s="127" t="s">
        <v>911</v>
      </c>
      <c r="D191" s="38" t="s">
        <v>311</v>
      </c>
      <c r="E191" s="122" t="s">
        <v>618</v>
      </c>
      <c r="F191" s="139" t="s">
        <v>717</v>
      </c>
      <c r="G191" s="38" t="s">
        <v>906</v>
      </c>
      <c r="H191" s="122" t="s">
        <v>355</v>
      </c>
      <c r="I191" s="180">
        <v>1</v>
      </c>
      <c r="J191" s="127" t="s">
        <v>912</v>
      </c>
      <c r="K191" s="38" t="s">
        <v>349</v>
      </c>
      <c r="L191" s="135" t="s">
        <v>717</v>
      </c>
    </row>
    <row r="192" spans="1:12" ht="72.75" customHeight="1">
      <c r="A192" s="38" t="s">
        <v>913</v>
      </c>
      <c r="B192" s="130" t="s">
        <v>234</v>
      </c>
      <c r="C192" s="127" t="s">
        <v>914</v>
      </c>
      <c r="D192" s="38" t="s">
        <v>311</v>
      </c>
      <c r="E192" s="122" t="s">
        <v>618</v>
      </c>
      <c r="F192" s="139" t="s">
        <v>717</v>
      </c>
      <c r="G192" s="38" t="s">
        <v>910</v>
      </c>
      <c r="H192" s="122" t="s">
        <v>355</v>
      </c>
      <c r="I192" s="180">
        <v>1</v>
      </c>
      <c r="J192" s="127" t="s">
        <v>915</v>
      </c>
      <c r="K192" s="38" t="s">
        <v>349</v>
      </c>
      <c r="L192" s="135" t="s">
        <v>717</v>
      </c>
    </row>
    <row r="193" spans="1:12" ht="80.25" customHeight="1">
      <c r="A193" s="38" t="s">
        <v>916</v>
      </c>
      <c r="B193" s="130" t="s">
        <v>234</v>
      </c>
      <c r="C193" s="127" t="s">
        <v>917</v>
      </c>
      <c r="D193" s="38" t="s">
        <v>311</v>
      </c>
      <c r="E193" s="122" t="s">
        <v>618</v>
      </c>
      <c r="F193" s="139" t="s">
        <v>344</v>
      </c>
      <c r="G193" s="38" t="s">
        <v>913</v>
      </c>
      <c r="H193" s="122" t="s">
        <v>355</v>
      </c>
      <c r="I193" s="180">
        <v>1</v>
      </c>
      <c r="J193" s="127" t="s">
        <v>918</v>
      </c>
      <c r="K193" s="38" t="s">
        <v>349</v>
      </c>
      <c r="L193" s="139" t="s">
        <v>344</v>
      </c>
    </row>
    <row r="194" spans="1:12" ht="60.75" customHeight="1">
      <c r="A194" s="38" t="s">
        <v>919</v>
      </c>
      <c r="B194" s="130" t="s">
        <v>920</v>
      </c>
      <c r="C194" s="127" t="s">
        <v>921</v>
      </c>
      <c r="D194" s="122" t="s">
        <v>311</v>
      </c>
      <c r="E194" s="122" t="s">
        <v>618</v>
      </c>
      <c r="F194" s="139" t="s">
        <v>595</v>
      </c>
      <c r="G194" s="38"/>
      <c r="H194" s="122" t="s">
        <v>355</v>
      </c>
      <c r="I194" s="41">
        <v>1</v>
      </c>
      <c r="J194" s="127" t="s">
        <v>922</v>
      </c>
      <c r="K194" s="38" t="s">
        <v>349</v>
      </c>
      <c r="L194" s="135" t="s">
        <v>595</v>
      </c>
    </row>
    <row r="195" spans="1:12" ht="61.5" customHeight="1">
      <c r="A195" s="38" t="s">
        <v>923</v>
      </c>
      <c r="B195" s="130" t="s">
        <v>242</v>
      </c>
      <c r="C195" s="127" t="s">
        <v>924</v>
      </c>
      <c r="D195" s="122" t="s">
        <v>311</v>
      </c>
      <c r="E195" s="122" t="s">
        <v>618</v>
      </c>
      <c r="F195" s="139" t="s">
        <v>595</v>
      </c>
      <c r="G195" s="38" t="s">
        <v>919</v>
      </c>
      <c r="H195" s="122" t="s">
        <v>355</v>
      </c>
      <c r="I195" s="41">
        <v>1</v>
      </c>
      <c r="J195" s="127" t="s">
        <v>925</v>
      </c>
      <c r="K195" s="38" t="s">
        <v>349</v>
      </c>
      <c r="L195" s="139" t="s">
        <v>595</v>
      </c>
    </row>
    <row r="196" spans="1:12" ht="65.25" customHeight="1">
      <c r="A196" s="38" t="s">
        <v>926</v>
      </c>
      <c r="B196" s="130" t="s">
        <v>242</v>
      </c>
      <c r="C196" s="127" t="s">
        <v>927</v>
      </c>
      <c r="D196" s="122" t="s">
        <v>311</v>
      </c>
      <c r="E196" s="122" t="s">
        <v>618</v>
      </c>
      <c r="F196" s="139" t="s">
        <v>595</v>
      </c>
      <c r="G196" s="38" t="s">
        <v>923</v>
      </c>
      <c r="H196" s="122" t="s">
        <v>355</v>
      </c>
      <c r="I196" s="41">
        <v>1</v>
      </c>
      <c r="J196" s="127" t="s">
        <v>928</v>
      </c>
      <c r="K196" s="38" t="s">
        <v>349</v>
      </c>
      <c r="L196" s="139" t="s">
        <v>595</v>
      </c>
    </row>
    <row r="197" spans="1:12" ht="57" customHeight="1">
      <c r="A197" s="38" t="s">
        <v>929</v>
      </c>
      <c r="B197" s="130" t="s">
        <v>242</v>
      </c>
      <c r="C197" s="127" t="s">
        <v>930</v>
      </c>
      <c r="D197" s="122" t="s">
        <v>311</v>
      </c>
      <c r="E197" s="122" t="s">
        <v>618</v>
      </c>
      <c r="F197" s="139" t="s">
        <v>595</v>
      </c>
      <c r="G197" s="38" t="s">
        <v>926</v>
      </c>
      <c r="H197" s="122" t="s">
        <v>355</v>
      </c>
      <c r="I197" s="41">
        <v>1</v>
      </c>
      <c r="J197" s="127" t="s">
        <v>931</v>
      </c>
      <c r="K197" s="38" t="s">
        <v>349</v>
      </c>
      <c r="L197" s="139" t="s">
        <v>595</v>
      </c>
    </row>
    <row r="198" spans="1:12" ht="64.5" customHeight="1">
      <c r="A198" s="38" t="s">
        <v>932</v>
      </c>
      <c r="B198" s="130" t="s">
        <v>242</v>
      </c>
      <c r="C198" s="127" t="s">
        <v>933</v>
      </c>
      <c r="D198" s="38" t="s">
        <v>311</v>
      </c>
      <c r="E198" s="122" t="s">
        <v>618</v>
      </c>
      <c r="F198" s="139" t="s">
        <v>595</v>
      </c>
      <c r="G198" s="38" t="s">
        <v>929</v>
      </c>
      <c r="H198" s="122" t="s">
        <v>355</v>
      </c>
      <c r="I198" s="41">
        <v>1</v>
      </c>
      <c r="J198" s="127" t="s">
        <v>934</v>
      </c>
      <c r="K198" s="38" t="s">
        <v>349</v>
      </c>
      <c r="L198" s="139" t="s">
        <v>595</v>
      </c>
    </row>
    <row r="199" spans="1:12" ht="55.5" customHeight="1">
      <c r="A199" s="38" t="s">
        <v>935</v>
      </c>
      <c r="B199" s="130" t="s">
        <v>242</v>
      </c>
      <c r="C199" s="127" t="s">
        <v>936</v>
      </c>
      <c r="D199" s="38" t="s">
        <v>311</v>
      </c>
      <c r="E199" s="122" t="s">
        <v>618</v>
      </c>
      <c r="F199" s="139" t="s">
        <v>595</v>
      </c>
      <c r="G199" s="38" t="s">
        <v>932</v>
      </c>
      <c r="H199" s="122" t="s">
        <v>355</v>
      </c>
      <c r="I199" s="41">
        <v>1</v>
      </c>
      <c r="J199" s="127" t="s">
        <v>937</v>
      </c>
      <c r="K199" s="38" t="s">
        <v>349</v>
      </c>
      <c r="L199" s="135" t="s">
        <v>595</v>
      </c>
    </row>
    <row r="200" spans="1:12" ht="66" customHeight="1">
      <c r="A200" s="38" t="s">
        <v>938</v>
      </c>
      <c r="B200" s="130" t="s">
        <v>939</v>
      </c>
      <c r="C200" s="127" t="s">
        <v>940</v>
      </c>
      <c r="D200" s="38" t="s">
        <v>311</v>
      </c>
      <c r="E200" s="122" t="s">
        <v>618</v>
      </c>
      <c r="F200" s="139" t="s">
        <v>595</v>
      </c>
      <c r="G200" s="38" t="s">
        <v>941</v>
      </c>
      <c r="H200" s="122" t="s">
        <v>355</v>
      </c>
      <c r="I200" s="41">
        <v>1</v>
      </c>
      <c r="J200" s="127" t="s">
        <v>942</v>
      </c>
      <c r="K200" s="38" t="s">
        <v>349</v>
      </c>
      <c r="L200" s="139" t="s">
        <v>595</v>
      </c>
    </row>
    <row r="201" spans="1:12" ht="56.25" customHeight="1">
      <c r="A201" s="38" t="s">
        <v>943</v>
      </c>
      <c r="B201" s="130" t="s">
        <v>246</v>
      </c>
      <c r="C201" s="127" t="s">
        <v>944</v>
      </c>
      <c r="D201" s="38" t="s">
        <v>311</v>
      </c>
      <c r="E201" s="122" t="s">
        <v>618</v>
      </c>
      <c r="F201" s="139" t="s">
        <v>595</v>
      </c>
      <c r="G201" s="38" t="s">
        <v>945</v>
      </c>
      <c r="H201" s="122" t="s">
        <v>355</v>
      </c>
      <c r="I201" s="41">
        <v>1</v>
      </c>
      <c r="J201" s="127" t="s">
        <v>946</v>
      </c>
      <c r="K201" s="38" t="s">
        <v>349</v>
      </c>
      <c r="L201" s="139" t="s">
        <v>595</v>
      </c>
    </row>
    <row r="202" spans="1:12" ht="63.75" customHeight="1">
      <c r="A202" s="38" t="s">
        <v>947</v>
      </c>
      <c r="B202" s="130" t="s">
        <v>246</v>
      </c>
      <c r="C202" s="127" t="s">
        <v>948</v>
      </c>
      <c r="D202" s="38" t="s">
        <v>311</v>
      </c>
      <c r="E202" s="122" t="s">
        <v>618</v>
      </c>
      <c r="F202" s="139" t="s">
        <v>595</v>
      </c>
      <c r="G202" s="38" t="s">
        <v>949</v>
      </c>
      <c r="H202" s="122" t="s">
        <v>355</v>
      </c>
      <c r="I202" s="41">
        <v>1</v>
      </c>
      <c r="J202" s="127" t="s">
        <v>950</v>
      </c>
      <c r="K202" s="38" t="s">
        <v>349</v>
      </c>
      <c r="L202" s="139" t="s">
        <v>595</v>
      </c>
    </row>
    <row r="203" spans="1:12" ht="63.75" customHeight="1">
      <c r="A203" s="38" t="s">
        <v>951</v>
      </c>
      <c r="B203" s="130" t="s">
        <v>246</v>
      </c>
      <c r="C203" s="127" t="s">
        <v>952</v>
      </c>
      <c r="D203" s="38" t="s">
        <v>311</v>
      </c>
      <c r="E203" s="122" t="s">
        <v>618</v>
      </c>
      <c r="F203" s="139" t="s">
        <v>595</v>
      </c>
      <c r="G203" s="38" t="s">
        <v>953</v>
      </c>
      <c r="H203" s="122" t="s">
        <v>355</v>
      </c>
      <c r="I203" s="41">
        <v>1</v>
      </c>
      <c r="J203" s="127" t="s">
        <v>954</v>
      </c>
      <c r="K203" s="38" t="s">
        <v>349</v>
      </c>
      <c r="L203" s="139" t="s">
        <v>595</v>
      </c>
    </row>
    <row r="204" spans="1:12" ht="63" customHeight="1">
      <c r="A204" s="38" t="s">
        <v>955</v>
      </c>
      <c r="B204" s="130" t="s">
        <v>246</v>
      </c>
      <c r="C204" s="127" t="s">
        <v>956</v>
      </c>
      <c r="D204" s="38" t="s">
        <v>311</v>
      </c>
      <c r="E204" s="122" t="s">
        <v>618</v>
      </c>
      <c r="F204" s="139" t="s">
        <v>595</v>
      </c>
      <c r="G204" s="38" t="s">
        <v>955</v>
      </c>
      <c r="H204" s="122" t="s">
        <v>355</v>
      </c>
      <c r="I204" s="41">
        <v>1</v>
      </c>
      <c r="J204" s="127" t="s">
        <v>957</v>
      </c>
      <c r="K204" s="38" t="s">
        <v>349</v>
      </c>
      <c r="L204" s="139" t="s">
        <v>595</v>
      </c>
    </row>
    <row r="205" spans="1:12" ht="81" customHeight="1">
      <c r="A205" s="38" t="s">
        <v>958</v>
      </c>
      <c r="B205" s="130" t="s">
        <v>959</v>
      </c>
      <c r="C205" s="127" t="s">
        <v>960</v>
      </c>
      <c r="D205" s="38" t="s">
        <v>311</v>
      </c>
      <c r="E205" s="122" t="s">
        <v>618</v>
      </c>
      <c r="F205" s="139" t="s">
        <v>717</v>
      </c>
      <c r="G205" s="38"/>
      <c r="H205" s="122" t="s">
        <v>355</v>
      </c>
      <c r="I205" s="41">
        <v>1</v>
      </c>
      <c r="J205" s="127" t="s">
        <v>961</v>
      </c>
      <c r="K205" s="38" t="s">
        <v>349</v>
      </c>
      <c r="L205" s="139" t="s">
        <v>717</v>
      </c>
    </row>
    <row r="206" spans="1:12" ht="81" customHeight="1">
      <c r="A206" s="38" t="s">
        <v>962</v>
      </c>
      <c r="B206" s="130" t="s">
        <v>253</v>
      </c>
      <c r="C206" s="127" t="s">
        <v>963</v>
      </c>
      <c r="D206" s="38" t="s">
        <v>311</v>
      </c>
      <c r="E206" s="122" t="s">
        <v>618</v>
      </c>
      <c r="F206" s="139" t="s">
        <v>717</v>
      </c>
      <c r="G206" s="38" t="s">
        <v>964</v>
      </c>
      <c r="H206" s="122" t="s">
        <v>355</v>
      </c>
      <c r="I206" s="41">
        <v>1</v>
      </c>
      <c r="J206" s="127" t="s">
        <v>965</v>
      </c>
      <c r="K206" s="38" t="s">
        <v>349</v>
      </c>
      <c r="L206" s="139" t="s">
        <v>717</v>
      </c>
    </row>
    <row r="207" spans="1:12" ht="69" customHeight="1">
      <c r="A207" s="38" t="s">
        <v>966</v>
      </c>
      <c r="B207" s="130" t="s">
        <v>253</v>
      </c>
      <c r="C207" s="127" t="s">
        <v>967</v>
      </c>
      <c r="D207" s="38" t="s">
        <v>311</v>
      </c>
      <c r="E207" s="122" t="s">
        <v>618</v>
      </c>
      <c r="F207" s="139" t="s">
        <v>968</v>
      </c>
      <c r="G207" s="38" t="s">
        <v>969</v>
      </c>
      <c r="H207" s="122" t="s">
        <v>355</v>
      </c>
      <c r="I207" s="41">
        <v>1</v>
      </c>
      <c r="J207" s="127" t="s">
        <v>970</v>
      </c>
      <c r="K207" s="38" t="s">
        <v>349</v>
      </c>
      <c r="L207" s="139" t="s">
        <v>968</v>
      </c>
    </row>
    <row r="208" spans="1:12" ht="55.5" customHeight="1">
      <c r="A208" s="38" t="s">
        <v>971</v>
      </c>
      <c r="B208" s="130" t="s">
        <v>253</v>
      </c>
      <c r="C208" s="127" t="s">
        <v>972</v>
      </c>
      <c r="D208" s="38" t="s">
        <v>311</v>
      </c>
      <c r="E208" s="122" t="s">
        <v>618</v>
      </c>
      <c r="F208" s="135" t="s">
        <v>717</v>
      </c>
      <c r="G208" s="38" t="s">
        <v>966</v>
      </c>
      <c r="H208" s="122" t="s">
        <v>355</v>
      </c>
      <c r="I208" s="41">
        <v>1</v>
      </c>
      <c r="J208" s="127" t="s">
        <v>973</v>
      </c>
      <c r="K208" s="38" t="s">
        <v>349</v>
      </c>
      <c r="L208" s="139" t="s">
        <v>717</v>
      </c>
    </row>
    <row r="209" spans="1:12" ht="65.25" customHeight="1">
      <c r="A209" s="38" t="s">
        <v>974</v>
      </c>
      <c r="B209" s="130" t="s">
        <v>253</v>
      </c>
      <c r="C209" s="127" t="s">
        <v>975</v>
      </c>
      <c r="D209" s="38" t="s">
        <v>311</v>
      </c>
      <c r="E209" s="122" t="s">
        <v>618</v>
      </c>
      <c r="F209" s="139" t="s">
        <v>717</v>
      </c>
      <c r="G209" s="38" t="s">
        <v>971</v>
      </c>
      <c r="H209" s="122" t="s">
        <v>355</v>
      </c>
      <c r="I209" s="41">
        <v>1</v>
      </c>
      <c r="J209" s="127" t="s">
        <v>976</v>
      </c>
      <c r="K209" s="38" t="s">
        <v>349</v>
      </c>
      <c r="L209" s="139" t="s">
        <v>717</v>
      </c>
    </row>
    <row r="210" spans="1:12" ht="69" customHeight="1">
      <c r="A210" s="38" t="s">
        <v>977</v>
      </c>
      <c r="B210" s="130" t="s">
        <v>253</v>
      </c>
      <c r="C210" s="127" t="s">
        <v>978</v>
      </c>
      <c r="D210" s="38" t="s">
        <v>311</v>
      </c>
      <c r="E210" s="122" t="s">
        <v>618</v>
      </c>
      <c r="F210" s="139" t="s">
        <v>717</v>
      </c>
      <c r="G210" s="38" t="s">
        <v>979</v>
      </c>
      <c r="H210" s="122" t="s">
        <v>355</v>
      </c>
      <c r="I210" s="41">
        <v>1004</v>
      </c>
      <c r="J210" s="127" t="s">
        <v>980</v>
      </c>
      <c r="K210" s="38" t="s">
        <v>349</v>
      </c>
      <c r="L210" s="139" t="s">
        <v>717</v>
      </c>
    </row>
    <row r="211" spans="1:12" ht="51.75" customHeight="1">
      <c r="A211" s="38" t="s">
        <v>981</v>
      </c>
      <c r="B211" s="130" t="s">
        <v>982</v>
      </c>
      <c r="C211" s="127" t="s">
        <v>983</v>
      </c>
      <c r="D211" s="38" t="s">
        <v>311</v>
      </c>
      <c r="E211" s="122" t="s">
        <v>618</v>
      </c>
      <c r="F211" s="139" t="s">
        <v>717</v>
      </c>
      <c r="G211" s="38" t="s">
        <v>977</v>
      </c>
      <c r="H211" s="122" t="s">
        <v>355</v>
      </c>
      <c r="I211" s="41">
        <v>1</v>
      </c>
      <c r="J211" s="127" t="s">
        <v>984</v>
      </c>
      <c r="K211" s="38" t="s">
        <v>349</v>
      </c>
      <c r="L211" s="139" t="s">
        <v>717</v>
      </c>
    </row>
    <row r="212" spans="1:12" ht="66.75" customHeight="1">
      <c r="A212" s="38" t="s">
        <v>985</v>
      </c>
      <c r="B212" s="130" t="s">
        <v>986</v>
      </c>
      <c r="C212" s="152" t="s">
        <v>987</v>
      </c>
      <c r="D212" s="38" t="s">
        <v>311</v>
      </c>
      <c r="E212" s="122" t="s">
        <v>618</v>
      </c>
      <c r="F212" s="139" t="s">
        <v>717</v>
      </c>
      <c r="G212" s="38" t="s">
        <v>988</v>
      </c>
      <c r="H212" s="122" t="s">
        <v>355</v>
      </c>
      <c r="I212" s="41">
        <v>1</v>
      </c>
      <c r="J212" s="127" t="s">
        <v>989</v>
      </c>
      <c r="K212" s="38" t="s">
        <v>349</v>
      </c>
      <c r="L212" s="139" t="s">
        <v>717</v>
      </c>
    </row>
    <row r="213" spans="1:12" ht="77.25" customHeight="1">
      <c r="A213" s="38" t="s">
        <v>990</v>
      </c>
      <c r="B213" s="130" t="s">
        <v>986</v>
      </c>
      <c r="C213" s="127" t="s">
        <v>991</v>
      </c>
      <c r="D213" s="38" t="s">
        <v>311</v>
      </c>
      <c r="E213" s="122" t="s">
        <v>618</v>
      </c>
      <c r="F213" s="139" t="s">
        <v>717</v>
      </c>
      <c r="G213" s="38" t="s">
        <v>985</v>
      </c>
      <c r="H213" s="122" t="s">
        <v>355</v>
      </c>
      <c r="I213" s="41">
        <v>1</v>
      </c>
      <c r="J213" s="127" t="s">
        <v>992</v>
      </c>
      <c r="K213" s="38" t="s">
        <v>349</v>
      </c>
      <c r="L213" s="135" t="s">
        <v>717</v>
      </c>
    </row>
    <row r="214" spans="1:12" ht="83.25" customHeight="1">
      <c r="A214" s="38" t="s">
        <v>993</v>
      </c>
      <c r="B214" s="130" t="s">
        <v>986</v>
      </c>
      <c r="C214" s="127" t="s">
        <v>994</v>
      </c>
      <c r="D214" s="38" t="s">
        <v>311</v>
      </c>
      <c r="E214" s="122" t="s">
        <v>618</v>
      </c>
      <c r="F214" s="139" t="s">
        <v>717</v>
      </c>
      <c r="G214" s="38" t="s">
        <v>990</v>
      </c>
      <c r="H214" s="122" t="s">
        <v>355</v>
      </c>
      <c r="I214" s="41">
        <v>1</v>
      </c>
      <c r="J214" s="127" t="s">
        <v>995</v>
      </c>
      <c r="K214" s="38" t="s">
        <v>349</v>
      </c>
      <c r="L214" s="139" t="s">
        <v>717</v>
      </c>
    </row>
    <row r="215" spans="1:12" ht="83.25" customHeight="1">
      <c r="A215" s="38" t="s">
        <v>996</v>
      </c>
      <c r="B215" s="130" t="s">
        <v>986</v>
      </c>
      <c r="C215" s="127" t="s">
        <v>997</v>
      </c>
      <c r="D215" s="38" t="s">
        <v>311</v>
      </c>
      <c r="E215" s="122" t="s">
        <v>618</v>
      </c>
      <c r="F215" s="135" t="s">
        <v>717</v>
      </c>
      <c r="G215" s="38" t="s">
        <v>993</v>
      </c>
      <c r="H215" s="122" t="s">
        <v>355</v>
      </c>
      <c r="I215" s="41">
        <v>1</v>
      </c>
      <c r="J215" s="127" t="s">
        <v>998</v>
      </c>
      <c r="K215" s="38" t="s">
        <v>349</v>
      </c>
      <c r="L215" s="135" t="s">
        <v>717</v>
      </c>
    </row>
    <row r="216" spans="1:12" ht="75.75" customHeight="1">
      <c r="A216" s="38" t="s">
        <v>999</v>
      </c>
      <c r="B216" s="130" t="s">
        <v>986</v>
      </c>
      <c r="C216" s="127" t="s">
        <v>1000</v>
      </c>
      <c r="D216" s="38" t="s">
        <v>311</v>
      </c>
      <c r="E216" s="122" t="s">
        <v>618</v>
      </c>
      <c r="F216" s="135" t="s">
        <v>717</v>
      </c>
      <c r="G216" s="38" t="s">
        <v>996</v>
      </c>
      <c r="H216" s="122" t="s">
        <v>355</v>
      </c>
      <c r="I216" s="41">
        <v>100</v>
      </c>
      <c r="J216" s="127" t="s">
        <v>1001</v>
      </c>
      <c r="K216" s="38" t="s">
        <v>349</v>
      </c>
      <c r="L216" s="139" t="s">
        <v>717</v>
      </c>
    </row>
    <row r="217" spans="1:12" ht="70.5" customHeight="1">
      <c r="A217" s="38" t="s">
        <v>1002</v>
      </c>
      <c r="B217" s="130" t="s">
        <v>1003</v>
      </c>
      <c r="C217" s="127" t="s">
        <v>1004</v>
      </c>
      <c r="D217" s="38" t="s">
        <v>311</v>
      </c>
      <c r="E217" s="122" t="s">
        <v>618</v>
      </c>
      <c r="F217" s="139" t="s">
        <v>344</v>
      </c>
      <c r="G217" s="38" t="s">
        <v>999</v>
      </c>
      <c r="H217" s="122" t="s">
        <v>355</v>
      </c>
      <c r="I217" s="41">
        <v>1</v>
      </c>
      <c r="J217" s="127" t="s">
        <v>1005</v>
      </c>
      <c r="K217" s="38" t="s">
        <v>349</v>
      </c>
      <c r="L217" s="139" t="s">
        <v>344</v>
      </c>
    </row>
    <row r="218" spans="1:12" ht="75.75" customHeight="1">
      <c r="A218" s="38" t="s">
        <v>1006</v>
      </c>
      <c r="B218" s="130" t="s">
        <v>1007</v>
      </c>
      <c r="C218" s="127" t="s">
        <v>1008</v>
      </c>
      <c r="D218" s="38" t="s">
        <v>311</v>
      </c>
      <c r="E218" s="122" t="s">
        <v>618</v>
      </c>
      <c r="F218" s="139" t="s">
        <v>1009</v>
      </c>
      <c r="G218" s="38" t="s">
        <v>1010</v>
      </c>
      <c r="H218" s="122" t="s">
        <v>355</v>
      </c>
      <c r="I218" s="41">
        <v>1</v>
      </c>
      <c r="J218" s="127" t="s">
        <v>1011</v>
      </c>
      <c r="K218" s="38" t="s">
        <v>349</v>
      </c>
      <c r="L218" s="139" t="s">
        <v>1009</v>
      </c>
    </row>
    <row r="219" spans="1:12" ht="66.75" customHeight="1">
      <c r="A219" s="38" t="s">
        <v>1012</v>
      </c>
      <c r="B219" s="130" t="s">
        <v>1007</v>
      </c>
      <c r="C219" s="127" t="s">
        <v>1013</v>
      </c>
      <c r="D219" s="38" t="s">
        <v>311</v>
      </c>
      <c r="E219" s="122" t="s">
        <v>618</v>
      </c>
      <c r="F219" s="139" t="s">
        <v>1009</v>
      </c>
      <c r="G219" s="38" t="s">
        <v>1002</v>
      </c>
      <c r="H219" s="122" t="s">
        <v>355</v>
      </c>
      <c r="I219" s="41">
        <v>1</v>
      </c>
      <c r="J219" s="127" t="s">
        <v>1014</v>
      </c>
      <c r="K219" s="38" t="s">
        <v>349</v>
      </c>
      <c r="L219" s="139" t="s">
        <v>1009</v>
      </c>
    </row>
    <row r="220" spans="1:12" ht="66.75" customHeight="1">
      <c r="A220" s="38" t="s">
        <v>1015</v>
      </c>
      <c r="B220" s="130" t="s">
        <v>1007</v>
      </c>
      <c r="C220" s="127" t="s">
        <v>1016</v>
      </c>
      <c r="D220" s="38" t="s">
        <v>311</v>
      </c>
      <c r="E220" s="122" t="s">
        <v>618</v>
      </c>
      <c r="F220" s="139" t="s">
        <v>1009</v>
      </c>
      <c r="G220" s="38" t="s">
        <v>1006</v>
      </c>
      <c r="H220" s="122" t="s">
        <v>355</v>
      </c>
      <c r="I220" s="41">
        <v>1</v>
      </c>
      <c r="J220" s="127" t="s">
        <v>1017</v>
      </c>
      <c r="K220" s="38" t="s">
        <v>349</v>
      </c>
      <c r="L220" s="139" t="s">
        <v>1009</v>
      </c>
    </row>
    <row r="221" spans="1:12" ht="67.5" customHeight="1">
      <c r="A221" s="38" t="s">
        <v>1018</v>
      </c>
      <c r="B221" s="130" t="s">
        <v>1007</v>
      </c>
      <c r="C221" s="127" t="s">
        <v>1019</v>
      </c>
      <c r="D221" s="38" t="s">
        <v>311</v>
      </c>
      <c r="E221" s="122" t="s">
        <v>618</v>
      </c>
      <c r="F221" s="139" t="s">
        <v>717</v>
      </c>
      <c r="G221" s="38" t="s">
        <v>1020</v>
      </c>
      <c r="H221" s="122" t="s">
        <v>355</v>
      </c>
      <c r="I221" s="41">
        <v>1</v>
      </c>
      <c r="J221" s="127" t="s">
        <v>1021</v>
      </c>
      <c r="K221" s="38" t="s">
        <v>349</v>
      </c>
      <c r="L221" s="139" t="s">
        <v>717</v>
      </c>
    </row>
    <row r="222" spans="1:12" ht="86.25" customHeight="1">
      <c r="A222" s="38" t="s">
        <v>1022</v>
      </c>
      <c r="B222" s="130" t="s">
        <v>1007</v>
      </c>
      <c r="C222" s="127" t="s">
        <v>1023</v>
      </c>
      <c r="D222" s="38" t="s">
        <v>311</v>
      </c>
      <c r="E222" s="122" t="s">
        <v>618</v>
      </c>
      <c r="F222" s="139" t="s">
        <v>1009</v>
      </c>
      <c r="G222" s="38" t="s">
        <v>1024</v>
      </c>
      <c r="H222" s="122" t="s">
        <v>355</v>
      </c>
      <c r="I222" s="41">
        <v>1</v>
      </c>
      <c r="J222" s="127" t="s">
        <v>1025</v>
      </c>
      <c r="K222" s="38" t="s">
        <v>349</v>
      </c>
      <c r="L222" s="139" t="s">
        <v>1009</v>
      </c>
    </row>
    <row r="223" spans="1:12" ht="60" customHeight="1">
      <c r="A223" s="38" t="s">
        <v>1026</v>
      </c>
      <c r="B223" s="130" t="s">
        <v>1007</v>
      </c>
      <c r="C223" s="127" t="s">
        <v>1027</v>
      </c>
      <c r="D223" s="38" t="s">
        <v>311</v>
      </c>
      <c r="E223" s="122" t="s">
        <v>618</v>
      </c>
      <c r="F223" s="139" t="s">
        <v>595</v>
      </c>
      <c r="G223" s="38" t="s">
        <v>1018</v>
      </c>
      <c r="H223" s="122" t="s">
        <v>355</v>
      </c>
      <c r="I223" s="41">
        <v>1</v>
      </c>
      <c r="J223" s="127" t="s">
        <v>1028</v>
      </c>
      <c r="K223" s="38" t="s">
        <v>349</v>
      </c>
      <c r="L223" s="139" t="s">
        <v>595</v>
      </c>
    </row>
    <row r="224" spans="1:12" ht="72" customHeight="1">
      <c r="A224" s="38" t="s">
        <v>1029</v>
      </c>
      <c r="B224" s="130" t="s">
        <v>1007</v>
      </c>
      <c r="C224" s="127" t="s">
        <v>1030</v>
      </c>
      <c r="D224" s="38" t="s">
        <v>311</v>
      </c>
      <c r="E224" s="122" t="s">
        <v>618</v>
      </c>
      <c r="F224" s="139" t="s">
        <v>1009</v>
      </c>
      <c r="G224" s="38" t="s">
        <v>1022</v>
      </c>
      <c r="H224" s="122" t="s">
        <v>355</v>
      </c>
      <c r="I224" s="41">
        <v>1</v>
      </c>
      <c r="J224" s="127" t="s">
        <v>1031</v>
      </c>
      <c r="K224" s="38" t="s">
        <v>349</v>
      </c>
      <c r="L224" s="139" t="s">
        <v>1009</v>
      </c>
    </row>
    <row r="225" spans="1:12" ht="63" customHeight="1">
      <c r="A225" s="38" t="s">
        <v>1032</v>
      </c>
      <c r="B225" s="130" t="s">
        <v>1007</v>
      </c>
      <c r="C225" s="127" t="s">
        <v>1033</v>
      </c>
      <c r="D225" s="38" t="s">
        <v>311</v>
      </c>
      <c r="E225" s="122" t="s">
        <v>618</v>
      </c>
      <c r="F225" s="139" t="s">
        <v>344</v>
      </c>
      <c r="G225" s="38" t="s">
        <v>1026</v>
      </c>
      <c r="H225" s="122" t="s">
        <v>355</v>
      </c>
      <c r="I225" s="41">
        <v>1</v>
      </c>
      <c r="J225" s="127" t="s">
        <v>1034</v>
      </c>
      <c r="K225" s="38" t="s">
        <v>349</v>
      </c>
      <c r="L225" s="139" t="s">
        <v>344</v>
      </c>
    </row>
    <row r="226" spans="1:12" ht="76.5" customHeight="1">
      <c r="A226" s="38" t="s">
        <v>1035</v>
      </c>
      <c r="B226" s="130" t="s">
        <v>1036</v>
      </c>
      <c r="C226" s="127" t="s">
        <v>1037</v>
      </c>
      <c r="D226" s="38" t="s">
        <v>311</v>
      </c>
      <c r="E226" s="128" t="s">
        <v>618</v>
      </c>
      <c r="F226" s="139" t="s">
        <v>595</v>
      </c>
      <c r="G226" s="38" t="s">
        <v>1035</v>
      </c>
      <c r="H226" s="122" t="s">
        <v>355</v>
      </c>
      <c r="I226" s="41">
        <v>1</v>
      </c>
      <c r="J226" s="124" t="s">
        <v>1037</v>
      </c>
      <c r="K226" s="38" t="s">
        <v>349</v>
      </c>
      <c r="L226" s="139" t="s">
        <v>595</v>
      </c>
    </row>
    <row r="227" spans="1:12" ht="72.75" customHeight="1">
      <c r="A227" s="38" t="s">
        <v>1038</v>
      </c>
      <c r="B227" s="130" t="s">
        <v>272</v>
      </c>
      <c r="C227" s="127" t="s">
        <v>1039</v>
      </c>
      <c r="D227" s="38" t="s">
        <v>311</v>
      </c>
      <c r="E227" s="128" t="s">
        <v>618</v>
      </c>
      <c r="F227" s="139" t="s">
        <v>344</v>
      </c>
      <c r="G227" s="38" t="s">
        <v>1040</v>
      </c>
      <c r="H227" s="122" t="s">
        <v>355</v>
      </c>
      <c r="I227" s="41">
        <v>1</v>
      </c>
      <c r="J227" s="127" t="s">
        <v>1041</v>
      </c>
      <c r="K227" s="38" t="s">
        <v>349</v>
      </c>
      <c r="L227" s="135" t="s">
        <v>344</v>
      </c>
    </row>
    <row r="228" spans="1:12" ht="86.25" customHeight="1">
      <c r="A228" s="38" t="s">
        <v>1042</v>
      </c>
      <c r="B228" s="130" t="s">
        <v>272</v>
      </c>
      <c r="C228" s="127" t="s">
        <v>1043</v>
      </c>
      <c r="D228" s="38" t="s">
        <v>311</v>
      </c>
      <c r="E228" s="128" t="s">
        <v>618</v>
      </c>
      <c r="F228" s="135" t="s">
        <v>344</v>
      </c>
      <c r="G228" s="38" t="s">
        <v>1042</v>
      </c>
      <c r="H228" s="122" t="s">
        <v>355</v>
      </c>
      <c r="I228" s="41">
        <v>1</v>
      </c>
      <c r="J228" s="127" t="s">
        <v>1044</v>
      </c>
      <c r="K228" s="38" t="s">
        <v>349</v>
      </c>
      <c r="L228" s="135" t="s">
        <v>344</v>
      </c>
    </row>
    <row r="229" spans="1:12" ht="75.75" customHeight="1">
      <c r="A229" s="38" t="s">
        <v>1045</v>
      </c>
      <c r="B229" s="130" t="s">
        <v>272</v>
      </c>
      <c r="C229" s="127" t="s">
        <v>1046</v>
      </c>
      <c r="D229" s="38" t="s">
        <v>311</v>
      </c>
      <c r="E229" s="128" t="s">
        <v>618</v>
      </c>
      <c r="F229" s="135" t="s">
        <v>344</v>
      </c>
      <c r="G229" s="38" t="s">
        <v>1045</v>
      </c>
      <c r="H229" s="122" t="s">
        <v>355</v>
      </c>
      <c r="I229" s="41">
        <v>1</v>
      </c>
      <c r="J229" s="127" t="s">
        <v>1047</v>
      </c>
      <c r="K229" s="38" t="s">
        <v>349</v>
      </c>
      <c r="L229" s="135" t="s">
        <v>344</v>
      </c>
    </row>
    <row r="230" spans="1:12" ht="84.75" customHeight="1">
      <c r="A230" s="38" t="s">
        <v>1048</v>
      </c>
      <c r="B230" s="130" t="s">
        <v>272</v>
      </c>
      <c r="C230" s="127" t="s">
        <v>1049</v>
      </c>
      <c r="D230" s="38" t="s">
        <v>311</v>
      </c>
      <c r="E230" s="128" t="s">
        <v>618</v>
      </c>
      <c r="F230" s="135" t="s">
        <v>344</v>
      </c>
      <c r="G230" s="38" t="s">
        <v>1048</v>
      </c>
      <c r="H230" s="122" t="s">
        <v>355</v>
      </c>
      <c r="I230" s="41">
        <v>1</v>
      </c>
      <c r="J230" s="127" t="s">
        <v>1050</v>
      </c>
      <c r="K230" s="38" t="s">
        <v>349</v>
      </c>
      <c r="L230" s="135" t="s">
        <v>344</v>
      </c>
    </row>
    <row r="231" spans="1:12" ht="84.75" customHeight="1">
      <c r="A231" s="38" t="s">
        <v>1051</v>
      </c>
      <c r="B231" s="130" t="s">
        <v>272</v>
      </c>
      <c r="C231" s="127" t="s">
        <v>1052</v>
      </c>
      <c r="D231" s="38" t="s">
        <v>311</v>
      </c>
      <c r="E231" s="128" t="s">
        <v>618</v>
      </c>
      <c r="F231" s="135" t="s">
        <v>344</v>
      </c>
      <c r="G231" s="38" t="s">
        <v>1051</v>
      </c>
      <c r="H231" s="122" t="s">
        <v>355</v>
      </c>
      <c r="I231" s="41">
        <v>1</v>
      </c>
      <c r="J231" s="127" t="s">
        <v>1053</v>
      </c>
      <c r="K231" s="38" t="s">
        <v>349</v>
      </c>
      <c r="L231" s="135" t="s">
        <v>344</v>
      </c>
    </row>
    <row r="232" spans="1:12" ht="55.5" customHeight="1">
      <c r="A232" s="38" t="s">
        <v>1054</v>
      </c>
      <c r="B232" s="130" t="s">
        <v>272</v>
      </c>
      <c r="C232" s="127" t="s">
        <v>1055</v>
      </c>
      <c r="D232" s="38" t="s">
        <v>311</v>
      </c>
      <c r="E232" s="128" t="s">
        <v>618</v>
      </c>
      <c r="F232" s="135" t="s">
        <v>344</v>
      </c>
      <c r="G232" s="38" t="s">
        <v>1054</v>
      </c>
      <c r="H232" s="122" t="s">
        <v>355</v>
      </c>
      <c r="I232" s="41">
        <v>1</v>
      </c>
      <c r="J232" s="127" t="s">
        <v>1056</v>
      </c>
      <c r="K232" s="38" t="s">
        <v>349</v>
      </c>
      <c r="L232" s="135" t="s">
        <v>344</v>
      </c>
    </row>
    <row r="233" spans="1:12" ht="63.75" customHeight="1">
      <c r="A233" s="38" t="s">
        <v>1057</v>
      </c>
      <c r="B233" s="130" t="s">
        <v>272</v>
      </c>
      <c r="C233" s="127" t="s">
        <v>1058</v>
      </c>
      <c r="D233" s="38" t="s">
        <v>311</v>
      </c>
      <c r="E233" s="128" t="s">
        <v>618</v>
      </c>
      <c r="F233" s="139" t="s">
        <v>595</v>
      </c>
      <c r="G233" s="38" t="s">
        <v>1057</v>
      </c>
      <c r="H233" s="122" t="s">
        <v>355</v>
      </c>
      <c r="I233" s="41">
        <v>1</v>
      </c>
      <c r="J233" s="127" t="s">
        <v>1059</v>
      </c>
      <c r="K233" s="38" t="s">
        <v>349</v>
      </c>
      <c r="L233" s="139" t="s">
        <v>595</v>
      </c>
    </row>
    <row r="234" spans="1:12" ht="63.75" customHeight="1">
      <c r="A234" s="38" t="s">
        <v>1060</v>
      </c>
      <c r="B234" s="130" t="s">
        <v>272</v>
      </c>
      <c r="C234" s="127" t="s">
        <v>1061</v>
      </c>
      <c r="D234" s="38" t="s">
        <v>311</v>
      </c>
      <c r="E234" s="128" t="s">
        <v>618</v>
      </c>
      <c r="F234" s="135" t="s">
        <v>344</v>
      </c>
      <c r="G234" s="38" t="s">
        <v>1060</v>
      </c>
      <c r="H234" s="122" t="s">
        <v>355</v>
      </c>
      <c r="I234" s="41">
        <v>1</v>
      </c>
      <c r="J234" s="127" t="s">
        <v>1062</v>
      </c>
      <c r="K234" s="38" t="s">
        <v>349</v>
      </c>
      <c r="L234" s="135" t="s">
        <v>344</v>
      </c>
    </row>
    <row r="235" spans="1:12" ht="63.75" customHeight="1">
      <c r="A235" s="38" t="s">
        <v>1063</v>
      </c>
      <c r="B235" s="130" t="s">
        <v>272</v>
      </c>
      <c r="C235" s="127" t="s">
        <v>1064</v>
      </c>
      <c r="D235" s="38" t="s">
        <v>311</v>
      </c>
      <c r="E235" s="128" t="s">
        <v>618</v>
      </c>
      <c r="F235" s="135" t="s">
        <v>717</v>
      </c>
      <c r="G235" s="38" t="s">
        <v>1063</v>
      </c>
      <c r="H235" s="122" t="s">
        <v>355</v>
      </c>
      <c r="I235" s="41">
        <v>1</v>
      </c>
      <c r="J235" s="148" t="s">
        <v>1065</v>
      </c>
      <c r="K235" s="38" t="s">
        <v>349</v>
      </c>
      <c r="L235" s="139" t="s">
        <v>717</v>
      </c>
    </row>
    <row r="236" spans="1:12" ht="57.75" customHeight="1">
      <c r="A236" s="38" t="s">
        <v>1066</v>
      </c>
      <c r="B236" s="130" t="s">
        <v>1067</v>
      </c>
      <c r="C236" s="127" t="s">
        <v>1068</v>
      </c>
      <c r="D236" s="38" t="s">
        <v>311</v>
      </c>
      <c r="E236" s="128" t="s">
        <v>618</v>
      </c>
      <c r="F236" s="139" t="s">
        <v>344</v>
      </c>
      <c r="G236" s="38" t="s">
        <v>1069</v>
      </c>
      <c r="H236" s="122" t="s">
        <v>355</v>
      </c>
      <c r="I236" s="41">
        <v>1</v>
      </c>
      <c r="J236" s="127" t="s">
        <v>1070</v>
      </c>
      <c r="K236" s="38" t="s">
        <v>349</v>
      </c>
      <c r="L236" s="135" t="s">
        <v>344</v>
      </c>
    </row>
    <row r="237" spans="1:12" ht="81.75" customHeight="1">
      <c r="A237" s="38" t="s">
        <v>1071</v>
      </c>
      <c r="B237" s="130" t="s">
        <v>279</v>
      </c>
      <c r="C237" s="127" t="s">
        <v>1072</v>
      </c>
      <c r="D237" s="38" t="s">
        <v>311</v>
      </c>
      <c r="E237" s="128" t="s">
        <v>618</v>
      </c>
      <c r="F237" s="139" t="s">
        <v>407</v>
      </c>
      <c r="G237" s="38" t="s">
        <v>1073</v>
      </c>
      <c r="H237" s="122" t="s">
        <v>355</v>
      </c>
      <c r="I237" s="41">
        <v>1</v>
      </c>
      <c r="J237" s="127" t="s">
        <v>1074</v>
      </c>
      <c r="K237" s="38" t="s">
        <v>349</v>
      </c>
      <c r="L237" s="139" t="s">
        <v>407</v>
      </c>
    </row>
    <row r="238" spans="1:12" ht="81.75" customHeight="1">
      <c r="A238" s="38" t="s">
        <v>1075</v>
      </c>
      <c r="B238" s="130" t="s">
        <v>279</v>
      </c>
      <c r="C238" s="127" t="s">
        <v>1076</v>
      </c>
      <c r="D238" s="38" t="s">
        <v>311</v>
      </c>
      <c r="E238" s="128" t="s">
        <v>618</v>
      </c>
      <c r="F238" s="135" t="s">
        <v>407</v>
      </c>
      <c r="G238" s="38" t="s">
        <v>1066</v>
      </c>
      <c r="H238" s="122" t="s">
        <v>355</v>
      </c>
      <c r="I238" s="41">
        <v>1</v>
      </c>
      <c r="J238" s="127" t="s">
        <v>1077</v>
      </c>
      <c r="K238" s="38" t="s">
        <v>349</v>
      </c>
      <c r="L238" s="135" t="s">
        <v>407</v>
      </c>
    </row>
    <row r="239" spans="1:12" ht="81.75" customHeight="1">
      <c r="A239" s="38" t="s">
        <v>1078</v>
      </c>
      <c r="B239" s="130" t="s">
        <v>279</v>
      </c>
      <c r="C239" s="127" t="s">
        <v>1079</v>
      </c>
      <c r="D239" s="38" t="s">
        <v>311</v>
      </c>
      <c r="E239" s="128" t="s">
        <v>618</v>
      </c>
      <c r="F239" s="135" t="s">
        <v>407</v>
      </c>
      <c r="G239" s="38" t="s">
        <v>1071</v>
      </c>
      <c r="H239" s="122" t="s">
        <v>355</v>
      </c>
      <c r="I239" s="41">
        <v>1</v>
      </c>
      <c r="J239" s="127" t="s">
        <v>1080</v>
      </c>
      <c r="K239" s="38" t="s">
        <v>349</v>
      </c>
      <c r="L239" s="135" t="s">
        <v>407</v>
      </c>
    </row>
    <row r="240" spans="1:12" ht="81.75" customHeight="1">
      <c r="A240" s="38" t="s">
        <v>1081</v>
      </c>
      <c r="B240" s="130" t="s">
        <v>279</v>
      </c>
      <c r="C240" s="127" t="s">
        <v>434</v>
      </c>
      <c r="D240" s="38" t="s">
        <v>311</v>
      </c>
      <c r="E240" s="128" t="s">
        <v>618</v>
      </c>
      <c r="F240" s="135" t="s">
        <v>407</v>
      </c>
      <c r="G240" s="38" t="s">
        <v>1075</v>
      </c>
      <c r="H240" s="122" t="s">
        <v>355</v>
      </c>
      <c r="I240" s="41">
        <v>1</v>
      </c>
      <c r="J240" s="127" t="s">
        <v>1082</v>
      </c>
      <c r="K240" s="38" t="s">
        <v>349</v>
      </c>
      <c r="L240" s="135" t="s">
        <v>407</v>
      </c>
    </row>
    <row r="241" spans="1:12" ht="81.75" customHeight="1">
      <c r="A241" s="38" t="s">
        <v>1083</v>
      </c>
      <c r="B241" s="130" t="s">
        <v>279</v>
      </c>
      <c r="C241" s="127" t="s">
        <v>1084</v>
      </c>
      <c r="D241" s="38" t="s">
        <v>311</v>
      </c>
      <c r="E241" s="128" t="s">
        <v>618</v>
      </c>
      <c r="F241" s="135" t="s">
        <v>407</v>
      </c>
      <c r="G241" s="38" t="s">
        <v>1078</v>
      </c>
      <c r="H241" s="122" t="s">
        <v>355</v>
      </c>
      <c r="I241" s="41">
        <v>1</v>
      </c>
      <c r="J241" s="127" t="s">
        <v>1085</v>
      </c>
      <c r="K241" s="38" t="s">
        <v>349</v>
      </c>
      <c r="L241" s="135" t="s">
        <v>407</v>
      </c>
    </row>
    <row r="242" spans="1:12" ht="81.75" customHeight="1">
      <c r="A242" s="38" t="s">
        <v>1086</v>
      </c>
      <c r="B242" s="130" t="s">
        <v>1087</v>
      </c>
      <c r="C242" s="127" t="s">
        <v>1088</v>
      </c>
      <c r="D242" s="38" t="s">
        <v>311</v>
      </c>
      <c r="E242" s="128" t="s">
        <v>618</v>
      </c>
      <c r="F242" s="139" t="s">
        <v>595</v>
      </c>
      <c r="G242" s="38" t="s">
        <v>1081</v>
      </c>
      <c r="H242" s="122" t="s">
        <v>355</v>
      </c>
      <c r="I242" s="41">
        <v>1</v>
      </c>
      <c r="J242" s="127" t="s">
        <v>1089</v>
      </c>
      <c r="K242" s="38" t="s">
        <v>349</v>
      </c>
      <c r="L242" s="139" t="s">
        <v>595</v>
      </c>
    </row>
    <row r="243" spans="1:12" ht="81.75" customHeight="1">
      <c r="A243" s="38" t="s">
        <v>1090</v>
      </c>
      <c r="B243" s="130" t="s">
        <v>283</v>
      </c>
      <c r="C243" s="127" t="s">
        <v>1091</v>
      </c>
      <c r="D243" s="38" t="s">
        <v>311</v>
      </c>
      <c r="E243" s="128" t="s">
        <v>618</v>
      </c>
      <c r="F243" s="139" t="s">
        <v>344</v>
      </c>
      <c r="G243" s="38" t="s">
        <v>1083</v>
      </c>
      <c r="H243" s="122" t="s">
        <v>355</v>
      </c>
      <c r="I243" s="41">
        <v>1</v>
      </c>
      <c r="J243" s="127" t="s">
        <v>1092</v>
      </c>
      <c r="K243" s="38" t="s">
        <v>349</v>
      </c>
      <c r="L243" s="139" t="s">
        <v>344</v>
      </c>
    </row>
    <row r="244" spans="1:12" ht="81.75" customHeight="1">
      <c r="A244" s="38" t="s">
        <v>1093</v>
      </c>
      <c r="B244" s="130" t="s">
        <v>283</v>
      </c>
      <c r="C244" s="127" t="s">
        <v>1094</v>
      </c>
      <c r="D244" s="38" t="s">
        <v>311</v>
      </c>
      <c r="E244" s="128" t="s">
        <v>618</v>
      </c>
      <c r="F244" s="135" t="s">
        <v>344</v>
      </c>
      <c r="G244" s="38" t="s">
        <v>1095</v>
      </c>
      <c r="H244" s="122" t="s">
        <v>355</v>
      </c>
      <c r="I244" s="41">
        <v>1</v>
      </c>
      <c r="J244" s="127" t="s">
        <v>1096</v>
      </c>
      <c r="K244" s="38" t="s">
        <v>349</v>
      </c>
      <c r="L244" s="139" t="s">
        <v>344</v>
      </c>
    </row>
    <row r="245" spans="1:12" ht="81.75" customHeight="1">
      <c r="A245" s="38" t="s">
        <v>1097</v>
      </c>
      <c r="B245" s="130" t="s">
        <v>283</v>
      </c>
      <c r="C245" s="127" t="s">
        <v>1098</v>
      </c>
      <c r="D245" s="38" t="s">
        <v>311</v>
      </c>
      <c r="E245" s="128" t="s">
        <v>618</v>
      </c>
      <c r="F245" s="135" t="s">
        <v>344</v>
      </c>
      <c r="G245" s="38" t="s">
        <v>1086</v>
      </c>
      <c r="H245" s="122" t="s">
        <v>355</v>
      </c>
      <c r="I245" s="41">
        <v>1</v>
      </c>
      <c r="J245" s="127" t="s">
        <v>1099</v>
      </c>
      <c r="K245" s="38" t="s">
        <v>349</v>
      </c>
      <c r="L245" s="139" t="s">
        <v>344</v>
      </c>
    </row>
    <row r="246" spans="1:12" ht="81.75" customHeight="1">
      <c r="A246" s="131"/>
      <c r="B246" s="151"/>
      <c r="C246" s="196"/>
      <c r="D246" s="43"/>
      <c r="E246" s="43"/>
      <c r="F246" s="33"/>
      <c r="G246" s="43"/>
      <c r="H246" s="138"/>
      <c r="I246" s="197"/>
      <c r="J246" s="150"/>
      <c r="K246" s="35"/>
      <c r="L246" s="36"/>
    </row>
    <row r="247" spans="1:12" ht="81.75" customHeight="1">
      <c r="A247" s="137"/>
      <c r="B247" s="130"/>
      <c r="C247" s="132"/>
      <c r="D247" s="38"/>
      <c r="E247" s="38"/>
      <c r="F247" s="139"/>
      <c r="G247" s="38"/>
      <c r="H247" s="122"/>
      <c r="I247" s="41"/>
      <c r="J247"/>
      <c r="K247" s="125"/>
      <c r="L247" s="36"/>
    </row>
    <row r="248" spans="1:12" ht="15.75" customHeight="1">
      <c r="A248" s="131"/>
      <c r="B248" s="133"/>
      <c r="C248" s="165"/>
      <c r="D248" s="43"/>
      <c r="E248" s="136"/>
      <c r="F248" s="140"/>
      <c r="G248" s="34"/>
      <c r="H248" s="138"/>
      <c r="I248" s="144"/>
      <c r="J248" s="126"/>
      <c r="K248" s="35"/>
      <c r="L248" s="36"/>
    </row>
    <row r="249" spans="1:12" ht="15.75" customHeight="1">
      <c r="L249" s="143"/>
    </row>
    <row r="250" spans="1:12" ht="15.75" customHeight="1"/>
    <row r="251" spans="1:12" ht="15.75" customHeight="1"/>
    <row r="252" spans="1:12" ht="15.75" customHeight="1"/>
    <row r="253" spans="1:12" ht="15.75" customHeight="1"/>
    <row r="254" spans="1:12" ht="15.75" customHeight="1"/>
    <row r="255" spans="1:12" ht="15.75" customHeight="1"/>
    <row r="256" spans="1:12"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spans="6:6" ht="15.75" customHeight="1"/>
    <row r="274" spans="6:6" ht="15.75" customHeight="1"/>
    <row r="275" spans="6:6" ht="15.75" customHeight="1"/>
    <row r="276" spans="6:6" ht="15.75" customHeight="1"/>
    <row r="277" spans="6:6" ht="15.75" customHeight="1"/>
    <row r="278" spans="6:6" ht="15.75" customHeight="1"/>
    <row r="279" spans="6:6" ht="15.75" customHeight="1"/>
    <row r="280" spans="6:6" ht="15.75" customHeight="1"/>
    <row r="281" spans="6:6" ht="15.75" customHeight="1"/>
    <row r="282" spans="6:6" ht="15.75" customHeight="1"/>
    <row r="283" spans="6:6" ht="15.75" customHeight="1"/>
    <row r="284" spans="6:6" ht="15.75" customHeight="1"/>
    <row r="285" spans="6:6" ht="15.75" customHeight="1"/>
    <row r="286" spans="6:6" ht="15.75" customHeight="1">
      <c r="F286" s="47"/>
    </row>
    <row r="287" spans="6:6" ht="15.75" customHeight="1"/>
    <row r="288" spans="6:6"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spans="7:7" ht="15.75" customHeight="1">
      <c r="G369" s="48"/>
    </row>
    <row r="370" spans="7:7" ht="15.75" customHeight="1"/>
    <row r="371" spans="7:7" ht="15.75" customHeight="1"/>
    <row r="372" spans="7:7" ht="15.75" customHeight="1"/>
    <row r="373" spans="7:7" ht="15.75" customHeight="1"/>
    <row r="374" spans="7:7" ht="15.75" customHeight="1"/>
    <row r="375" spans="7:7" ht="15.75" customHeight="1"/>
    <row r="376" spans="7:7" ht="15.75" customHeight="1"/>
    <row r="377" spans="7:7" ht="15.75" customHeight="1"/>
    <row r="378" spans="7:7" ht="15.75" customHeight="1"/>
    <row r="379" spans="7:7" ht="15.75" customHeight="1"/>
    <row r="380" spans="7:7" ht="15.75" customHeight="1"/>
    <row r="381" spans="7:7" ht="15.75" customHeight="1"/>
    <row r="382" spans="7:7" ht="15.75" customHeight="1"/>
    <row r="383" spans="7:7" ht="15.75" customHeight="1"/>
    <row r="384" spans="7:7"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1:J18"/>
  <sheetViews>
    <sheetView tabSelected="1" topLeftCell="B1" workbookViewId="0">
      <selection activeCell="H8" sqref="H8"/>
    </sheetView>
  </sheetViews>
  <sheetFormatPr defaultColWidth="9.140625" defaultRowHeight="13.15"/>
  <cols>
    <col min="1" max="1" width="3.28515625" customWidth="1"/>
    <col min="2" max="2" width="7.85546875" customWidth="1"/>
    <col min="3" max="3" width="10.42578125" customWidth="1"/>
    <col min="4" max="4" width="9.5703125" customWidth="1"/>
    <col min="5" max="6" width="10.7109375" customWidth="1"/>
    <col min="7" max="7" width="9.140625" customWidth="1"/>
    <col min="8" max="8" width="22" style="2" customWidth="1"/>
    <col min="9" max="9" width="59.140625" customWidth="1"/>
  </cols>
  <sheetData>
    <row r="1" spans="2:10" ht="17.45">
      <c r="B1" s="3"/>
    </row>
    <row r="2" spans="2:10">
      <c r="B2" s="23" t="s">
        <v>32</v>
      </c>
      <c r="C2" s="23" t="s">
        <v>1100</v>
      </c>
      <c r="D2" s="23" t="s">
        <v>1101</v>
      </c>
      <c r="E2" s="23" t="s">
        <v>1102</v>
      </c>
      <c r="F2" s="23" t="s">
        <v>30</v>
      </c>
      <c r="G2" s="24" t="s">
        <v>33</v>
      </c>
      <c r="H2" s="23" t="s">
        <v>1103</v>
      </c>
      <c r="I2" s="24" t="s">
        <v>1104</v>
      </c>
      <c r="J2" s="1"/>
    </row>
    <row r="3" spans="2:10">
      <c r="B3" s="16" t="s">
        <v>1105</v>
      </c>
      <c r="C3" s="27">
        <v>45831</v>
      </c>
      <c r="D3" s="19">
        <v>37</v>
      </c>
      <c r="E3" s="20">
        <v>42217</v>
      </c>
      <c r="F3" s="16">
        <v>100</v>
      </c>
      <c r="G3" s="17" t="s">
        <v>1106</v>
      </c>
      <c r="H3" s="201">
        <v>45871</v>
      </c>
      <c r="I3" s="14" t="s">
        <v>1107</v>
      </c>
    </row>
    <row r="4" spans="2:10" ht="12.75">
      <c r="B4" s="16" t="s">
        <v>1108</v>
      </c>
      <c r="C4" s="18">
        <v>45873</v>
      </c>
      <c r="D4" s="19">
        <v>31</v>
      </c>
      <c r="E4" s="20">
        <v>45905</v>
      </c>
      <c r="F4" s="16">
        <v>100</v>
      </c>
      <c r="G4" s="17" t="s">
        <v>1106</v>
      </c>
      <c r="H4" s="201">
        <v>45904</v>
      </c>
      <c r="I4" s="200" t="s">
        <v>1109</v>
      </c>
    </row>
    <row r="5" spans="2:10" ht="12.75">
      <c r="B5" s="16" t="s">
        <v>1110</v>
      </c>
      <c r="C5" s="18">
        <v>45908</v>
      </c>
      <c r="D5" s="19">
        <v>18</v>
      </c>
      <c r="E5" s="20">
        <v>45926</v>
      </c>
      <c r="F5" s="16">
        <v>100</v>
      </c>
      <c r="G5" s="17" t="s">
        <v>1106</v>
      </c>
      <c r="H5" s="201">
        <v>45927</v>
      </c>
      <c r="I5" s="200" t="s">
        <v>1109</v>
      </c>
    </row>
    <row r="6" spans="2:10" ht="12.75">
      <c r="B6" s="16" t="s">
        <v>1111</v>
      </c>
      <c r="C6" s="18">
        <v>45887</v>
      </c>
      <c r="D6" s="19">
        <v>30</v>
      </c>
      <c r="E6" s="20">
        <v>45926</v>
      </c>
      <c r="F6" s="16">
        <v>100</v>
      </c>
      <c r="G6" s="17" t="s">
        <v>1106</v>
      </c>
      <c r="H6" s="201">
        <v>45928</v>
      </c>
      <c r="I6" s="200" t="s">
        <v>1109</v>
      </c>
    </row>
    <row r="7" spans="2:10" ht="12.75">
      <c r="B7" s="16" t="s">
        <v>1112</v>
      </c>
      <c r="C7" s="18">
        <v>45929</v>
      </c>
      <c r="D7" s="19">
        <v>20</v>
      </c>
      <c r="E7" s="20">
        <v>45947</v>
      </c>
      <c r="F7" s="16">
        <v>100</v>
      </c>
      <c r="G7" s="17" t="s">
        <v>1106</v>
      </c>
      <c r="H7" s="201">
        <v>45948</v>
      </c>
      <c r="I7" s="200" t="s">
        <v>1109</v>
      </c>
    </row>
    <row r="8" spans="2:10" ht="12.75">
      <c r="B8" s="16" t="s">
        <v>1113</v>
      </c>
      <c r="C8" s="18">
        <v>45950</v>
      </c>
      <c r="D8" s="19">
        <v>20</v>
      </c>
      <c r="E8" s="20">
        <v>45968</v>
      </c>
      <c r="F8" s="16">
        <v>100</v>
      </c>
      <c r="G8" s="17" t="s">
        <v>1106</v>
      </c>
      <c r="H8" s="201">
        <v>45969</v>
      </c>
      <c r="I8" s="200" t="s">
        <v>1109</v>
      </c>
    </row>
    <row r="9" spans="2:10" ht="12.75">
      <c r="B9" s="198" t="s">
        <v>1114</v>
      </c>
      <c r="C9" s="18">
        <v>45971</v>
      </c>
      <c r="D9" s="19">
        <v>25</v>
      </c>
      <c r="E9" s="20">
        <v>45995</v>
      </c>
      <c r="F9" s="16">
        <v>100</v>
      </c>
      <c r="G9" s="17" t="s">
        <v>1106</v>
      </c>
      <c r="H9" s="201">
        <v>45996</v>
      </c>
      <c r="I9" s="200" t="s">
        <v>1109</v>
      </c>
    </row>
    <row r="10" spans="2:10">
      <c r="B10" s="16" t="str">
        <f t="shared" ref="B9:B17" si="0">IF(AND(C10&lt;&gt;"",D10&lt;&gt;""),B9+1,"")</f>
        <v/>
      </c>
      <c r="C10" s="18" t="str">
        <f t="shared" ref="C9:C17" si="1">IF(AND(C9&lt;&gt;"",D9&lt;&gt;"",D10&lt;&gt;""),C9+D9,"")</f>
        <v/>
      </c>
      <c r="D10" s="19"/>
      <c r="E10" s="20" t="str">
        <f t="shared" ref="E9:E17" si="2">IF(AND(C10&lt;&gt;"",D10&lt;&gt;""),C10+D10-1,"")</f>
        <v/>
      </c>
      <c r="F10" s="16" t="str">
        <f>IF(B10="","",SUMIF('Backlog del Producto'!N$16:N$138,Sprints!B10,'Backlog del Producto'!L$16:L$138))</f>
        <v/>
      </c>
      <c r="G10" s="17" t="str">
        <f t="shared" ref="G9:G17" si="3">IF(AND(OR(G9="Planned",G9="Ongoing"),D10&lt;&gt;""),"Planned","Unplanned")</f>
        <v>Unplanned</v>
      </c>
      <c r="H10" s="19"/>
      <c r="I10" s="14"/>
    </row>
    <row r="11" spans="2:10">
      <c r="B11" s="16" t="str">
        <f t="shared" si="0"/>
        <v/>
      </c>
      <c r="C11" s="18" t="str">
        <f t="shared" si="1"/>
        <v/>
      </c>
      <c r="D11" s="19"/>
      <c r="E11" s="20" t="str">
        <f t="shared" si="2"/>
        <v/>
      </c>
      <c r="F11" s="16" t="str">
        <f>IF(B11="","",SUMIF('Backlog del Producto'!N$16:N$138,Sprints!B11,'Backlog del Producto'!L$16:L$138))</f>
        <v/>
      </c>
      <c r="G11" s="17" t="str">
        <f t="shared" si="3"/>
        <v>Unplanned</v>
      </c>
      <c r="H11" s="19"/>
      <c r="I11" s="14"/>
    </row>
    <row r="12" spans="2:10">
      <c r="B12" s="16" t="str">
        <f t="shared" si="0"/>
        <v/>
      </c>
      <c r="C12" s="18" t="str">
        <f t="shared" si="1"/>
        <v/>
      </c>
      <c r="D12" s="19"/>
      <c r="E12" s="20" t="str">
        <f t="shared" si="2"/>
        <v/>
      </c>
      <c r="F12" s="16" t="str">
        <f>IF(B12="","",SUMIF('Backlog del Producto'!N$16:N$138,Sprints!B12,'Backlog del Producto'!L$16:L$138))</f>
        <v/>
      </c>
      <c r="G12" s="17" t="str">
        <f t="shared" si="3"/>
        <v>Unplanned</v>
      </c>
      <c r="H12" s="19"/>
      <c r="I12" s="14"/>
    </row>
    <row r="13" spans="2:10">
      <c r="B13" s="16" t="str">
        <f t="shared" si="0"/>
        <v/>
      </c>
      <c r="C13" s="18" t="str">
        <f t="shared" si="1"/>
        <v/>
      </c>
      <c r="D13" s="19"/>
      <c r="E13" s="20" t="str">
        <f t="shared" si="2"/>
        <v/>
      </c>
      <c r="F13" s="16" t="str">
        <f>IF(B13="","",SUMIF('Backlog del Producto'!N$16:N$138,Sprints!B13,'Backlog del Producto'!L$16:L$138))</f>
        <v/>
      </c>
      <c r="G13" s="17" t="str">
        <f t="shared" si="3"/>
        <v>Unplanned</v>
      </c>
      <c r="H13" s="19"/>
      <c r="I13" s="14"/>
    </row>
    <row r="14" spans="2:10">
      <c r="B14" s="16" t="str">
        <f t="shared" si="0"/>
        <v/>
      </c>
      <c r="C14" s="18" t="str">
        <f t="shared" si="1"/>
        <v/>
      </c>
      <c r="D14" s="19"/>
      <c r="E14" s="20" t="str">
        <f t="shared" si="2"/>
        <v/>
      </c>
      <c r="F14" s="16" t="str">
        <f>IF(B14="","",SUMIF('Backlog del Producto'!N$16:N$138,Sprints!B14,'Backlog del Producto'!L$16:L$138))</f>
        <v/>
      </c>
      <c r="G14" s="17" t="str">
        <f t="shared" si="3"/>
        <v>Unplanned</v>
      </c>
      <c r="H14" s="19"/>
      <c r="I14" s="14"/>
    </row>
    <row r="15" spans="2:10">
      <c r="B15" s="16" t="str">
        <f t="shared" si="0"/>
        <v/>
      </c>
      <c r="C15" s="18" t="str">
        <f t="shared" si="1"/>
        <v/>
      </c>
      <c r="D15" s="19"/>
      <c r="E15" s="20" t="str">
        <f t="shared" si="2"/>
        <v/>
      </c>
      <c r="F15" s="16" t="str">
        <f>IF(B15="","",SUMIF('Backlog del Producto'!N$16:N$138,Sprints!B15,'Backlog del Producto'!L$16:L$138))</f>
        <v/>
      </c>
      <c r="G15" s="17" t="str">
        <f t="shared" si="3"/>
        <v>Unplanned</v>
      </c>
      <c r="H15" s="19"/>
      <c r="I15" s="14"/>
    </row>
    <row r="16" spans="2:10">
      <c r="B16" s="16" t="str">
        <f t="shared" si="0"/>
        <v/>
      </c>
      <c r="C16" s="18" t="str">
        <f t="shared" si="1"/>
        <v/>
      </c>
      <c r="D16" s="19"/>
      <c r="E16" s="20" t="str">
        <f t="shared" si="2"/>
        <v/>
      </c>
      <c r="F16" s="16" t="str">
        <f>IF(B16="","",SUMIF('Backlog del Producto'!N$16:N$138,Sprints!B16,'Backlog del Producto'!L$16:L$138))</f>
        <v/>
      </c>
      <c r="G16" s="17" t="str">
        <f t="shared" si="3"/>
        <v>Unplanned</v>
      </c>
      <c r="H16" s="19"/>
      <c r="I16" s="14"/>
    </row>
    <row r="17" spans="2:9">
      <c r="B17" s="16" t="str">
        <f t="shared" si="0"/>
        <v/>
      </c>
      <c r="C17" s="18" t="str">
        <f t="shared" si="1"/>
        <v/>
      </c>
      <c r="D17" s="19"/>
      <c r="E17" s="20" t="str">
        <f t="shared" si="2"/>
        <v/>
      </c>
      <c r="F17" s="16" t="str">
        <f>IF(B17="","",SUMIF('Backlog del Producto'!N$16:N$138,Sprints!B17,'Backlog del Producto'!L$16:L$138))</f>
        <v/>
      </c>
      <c r="G17" s="17" t="str">
        <f t="shared" si="3"/>
        <v>Unplanned</v>
      </c>
      <c r="H17" s="19"/>
      <c r="I17" s="14"/>
    </row>
    <row r="18" spans="2:9">
      <c r="B18" s="17"/>
      <c r="C18" s="17"/>
      <c r="D18" s="13"/>
      <c r="E18" s="21" t="s">
        <v>1115</v>
      </c>
      <c r="F18" s="16">
        <f>SUMIF('Backlog del Producto'!N$16:N$138,"",'Backlog del Producto'!L$16:L$138)-SUMIF('Backlog del Producto'!O$16:O$138,"Eliminado",'Backlog del Producto'!L$16:L$138)</f>
        <v>0</v>
      </c>
      <c r="G18" s="17"/>
      <c r="H18" s="19"/>
      <c r="I18" s="15"/>
    </row>
  </sheetData>
  <phoneticPr fontId="3" type="noConversion"/>
  <conditionalFormatting sqref="B3:F17 H3:I3 H10:I17 H4:H9">
    <cfRule type="expression" dxfId="6" priority="6" stopIfTrue="1">
      <formula>OR($G3="Planned",$G3="Unplanned")</formula>
    </cfRule>
    <cfRule type="expression" dxfId="5" priority="7" stopIfTrue="1">
      <formula>$G3="Ongoing"</formula>
    </cfRule>
  </conditionalFormatting>
  <conditionalFormatting sqref="F18">
    <cfRule type="expression" dxfId="4" priority="1" stopIfTrue="1">
      <formula>$G18="Planned"</formula>
    </cfRule>
    <cfRule type="expression" dxfId="3" priority="2" stopIfTrue="1">
      <formula>$G18="Ongoing"</formula>
    </cfRule>
  </conditionalFormatting>
  <conditionalFormatting sqref="G3:G17">
    <cfRule type="expression" dxfId="2" priority="3" stopIfTrue="1">
      <formula>$G3="Planned"</formula>
    </cfRule>
    <cfRule type="expression" dxfId="1" priority="4" stopIfTrue="1">
      <formula>$G3="Ongoing"</formula>
    </cfRule>
    <cfRule type="cellIs" dxfId="0" priority="5" stopIfTrue="1" operator="equal">
      <formula>"Unplanned"</formula>
    </cfRule>
  </conditionalFormatting>
  <dataValidations count="1">
    <dataValidation type="list" allowBlank="1" showInputMessage="1" showErrorMessage="1" sqref="G3:G17" xr:uid="{00000000-0002-0000-0100-000000000000}">
      <formula1>"Planeado,En Progreso,Terminado,No planeado"</formula1>
    </dataValidation>
  </dataValidations>
  <pageMargins left="0.75" right="0.75" top="1" bottom="1" header="0.5" footer="0.5"/>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5124E24CAF14D46B2DD609ACFD84C07" ma:contentTypeVersion="0" ma:contentTypeDescription="Create a new document." ma:contentTypeScope="" ma:versionID="9971b3b784abbe199b171e233c6d3889">
  <xsd:schema xmlns:xsd="http://www.w3.org/2001/XMLSchema" xmlns:xs="http://www.w3.org/2001/XMLSchema" xmlns:p="http://schemas.microsoft.com/office/2006/metadata/properties" xmlns:ns2="01eb4bd6-a8ff-4439-b7eb-fe0a650fbd8a" targetNamespace="http://schemas.microsoft.com/office/2006/metadata/properties" ma:root="true" ma:fieldsID="9a36e787f936117f0a8f63b0cc0186e7" ns2:_="">
    <xsd:import namespace="01eb4bd6-a8ff-4439-b7eb-fe0a650fbd8a"/>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eb4bd6-a8ff-4439-b7eb-fe0a650fbd8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entificador persistente" ma:description="Mantener el identificador al agregar."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5.xml><?xml version="1.0" encoding="utf-8"?>
<LongProperties xmlns="http://schemas.microsoft.com/office/2006/metadata/longProperties"/>
</file>

<file path=customXml/itemProps1.xml><?xml version="1.0" encoding="utf-8"?>
<ds:datastoreItem xmlns:ds="http://schemas.openxmlformats.org/officeDocument/2006/customXml" ds:itemID="{49A0D1E8-B670-4184-80F1-6022252F7605}"/>
</file>

<file path=customXml/itemProps2.xml><?xml version="1.0" encoding="utf-8"?>
<ds:datastoreItem xmlns:ds="http://schemas.openxmlformats.org/officeDocument/2006/customXml" ds:itemID="{2036E817-ADB2-4FBD-A97A-810F82FD54C5}"/>
</file>

<file path=customXml/itemProps3.xml><?xml version="1.0" encoding="utf-8"?>
<ds:datastoreItem xmlns:ds="http://schemas.openxmlformats.org/officeDocument/2006/customXml" ds:itemID="{617ABD26-2811-4761-B5CB-14D5621085A8}"/>
</file>

<file path=customXml/itemProps4.xml><?xml version="1.0" encoding="utf-8"?>
<ds:datastoreItem xmlns:ds="http://schemas.openxmlformats.org/officeDocument/2006/customXml" ds:itemID="{F09A1246-53BD-4D90-8F0D-F04270C7DF7F}"/>
</file>

<file path=customXml/itemProps5.xml><?xml version="1.0" encoding="utf-8"?>
<ds:datastoreItem xmlns:ds="http://schemas.openxmlformats.org/officeDocument/2006/customXml" ds:itemID="{2926A6BD-B9D6-43A1-AC24-40D994CC1A5B}"/>
</file>

<file path=docProps/app.xml><?xml version="1.0" encoding="utf-8"?>
<Properties xmlns="http://schemas.openxmlformats.org/officeDocument/2006/extended-properties" xmlns:vt="http://schemas.openxmlformats.org/officeDocument/2006/docPropsVTypes">
  <Application>Microsoft Excel Online</Application>
  <Manager/>
  <Company>SysOpen Digia Plc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Iteration Plans</dc:title>
  <dc:subject/>
  <dc:creator>hbravo-consultorge@innovacion.gob.pa</dc:creator>
  <cp:keywords/>
  <dc:description>Template versio 1.0 Approval</dc:description>
  <cp:lastModifiedBy/>
  <cp:revision>1</cp:revision>
  <dcterms:created xsi:type="dcterms:W3CDTF">1998-06-05T11:20:44Z</dcterms:created>
  <dcterms:modified xsi:type="dcterms:W3CDTF">2025-12-16T20:44:29Z</dcterms:modified>
  <cp:category>SysOpen Digia Standard 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_dlc_DocId">
    <vt:lpwstr>FWJASSSE55TN-275-86</vt:lpwstr>
  </property>
  <property fmtid="{D5CDD505-2E9C-101B-9397-08002B2CF9AE}" pid="4" name="_dlc_DocIdItemGuid">
    <vt:lpwstr>c1f17344-0d84-4593-9f14-6d0a5edfb0d0</vt:lpwstr>
  </property>
  <property fmtid="{D5CDD505-2E9C-101B-9397-08002B2CF9AE}" pid="5" name="_dlc_DocIdUrl">
    <vt:lpwstr>https://portal.smrey.net/areas/it/_layouts/15/DocIdRedir.aspx?ID=FWJASSSE55TN-275-86, FWJASSSE55TN-275-86</vt:lpwstr>
  </property>
  <property fmtid="{D5CDD505-2E9C-101B-9397-08002B2CF9AE}" pid="6" name="MSIP_Label_fc111285-cafa-4fc9-8a9a-bd902089b24f_Enabled">
    <vt:lpwstr>true</vt:lpwstr>
  </property>
  <property fmtid="{D5CDD505-2E9C-101B-9397-08002B2CF9AE}" pid="7" name="MSIP_Label_fc111285-cafa-4fc9-8a9a-bd902089b24f_SetDate">
    <vt:lpwstr>2025-01-30T15:28:30Z</vt:lpwstr>
  </property>
  <property fmtid="{D5CDD505-2E9C-101B-9397-08002B2CF9AE}" pid="8" name="MSIP_Label_fc111285-cafa-4fc9-8a9a-bd902089b24f_Method">
    <vt:lpwstr>Privileged</vt:lpwstr>
  </property>
  <property fmtid="{D5CDD505-2E9C-101B-9397-08002B2CF9AE}" pid="9" name="MSIP_Label_fc111285-cafa-4fc9-8a9a-bd902089b24f_Name">
    <vt:lpwstr>Public</vt:lpwstr>
  </property>
  <property fmtid="{D5CDD505-2E9C-101B-9397-08002B2CF9AE}" pid="10" name="MSIP_Label_fc111285-cafa-4fc9-8a9a-bd902089b24f_SiteId">
    <vt:lpwstr>cbc2c381-2f2e-4d93-91d1-506c9316ace7</vt:lpwstr>
  </property>
  <property fmtid="{D5CDD505-2E9C-101B-9397-08002B2CF9AE}" pid="11" name="MSIP_Label_fc111285-cafa-4fc9-8a9a-bd902089b24f_ActionId">
    <vt:lpwstr>436d3db1-fb44-4f2f-b365-dcb462845163</vt:lpwstr>
  </property>
  <property fmtid="{D5CDD505-2E9C-101B-9397-08002B2CF9AE}" pid="12" name="MSIP_Label_fc111285-cafa-4fc9-8a9a-bd902089b24f_ContentBits">
    <vt:lpwstr>0</vt:lpwstr>
  </property>
</Properties>
</file>